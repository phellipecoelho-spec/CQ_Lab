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sktop_Casa\Documents\CQ_Lab\planilhas\asfalto\"/>
    </mc:Choice>
  </mc:AlternateContent>
  <xr:revisionPtr revIDLastSave="0" documentId="13_ncr:1_{BAF85F86-C45A-45D1-BEFE-A1725FA6714B}" xr6:coauthVersionLast="47" xr6:coauthVersionMax="47" xr10:uidLastSave="{00000000-0000-0000-0000-000000000000}"/>
  <bookViews>
    <workbookView showSheetTabs="0" xWindow="-108" yWindow="-108" windowWidth="17496" windowHeight="11016" activeTab="2" xr2:uid="{3280FFD1-4668-4DA4-800A-0E664EB493C5}"/>
  </bookViews>
  <sheets>
    <sheet name="Proc_Asfalto" sheetId="2" r:id="rId1"/>
    <sheet name="Projeto_Asfalto" sheetId="3" r:id="rId2"/>
    <sheet name="Form_001" sheetId="1" r:id="rId3"/>
    <sheet name="Tela" sheetId="4" r:id="rId4"/>
  </sheets>
  <definedNames>
    <definedName name="_1__123Graph_FCHART_1" hidden="1">#REF!</definedName>
    <definedName name="_2__123Graph_XCHART_1" hidden="1">#REF!</definedName>
    <definedName name="ccccc">#REF!</definedName>
    <definedName name="ESPESSURA_mm" localSheetId="2">#REF!</definedName>
    <definedName name="ESPESSURA_mm">#REF!</definedName>
    <definedName name="FATOR" localSheetId="2">#REF!</definedName>
    <definedName name="FATOR">#REF!</definedName>
    <definedName name="H">#REF!</definedName>
    <definedName name="HG">#REF!</definedName>
    <definedName name="HW">#REF!</definedName>
    <definedName name="jg">#REF!</definedName>
    <definedName name="kb">#REF!</definedName>
    <definedName name="KK">#REF!</definedName>
    <definedName name="LA">#REF!</definedName>
    <definedName name="ld">#REF!</definedName>
    <definedName name="OK">#REF!</definedName>
    <definedName name="PA">#REF!</definedName>
    <definedName name="Print_Area" localSheetId="2">Form_001!$A$1:$N$81</definedName>
    <definedName name="SEQUENCIA5" localSheetId="2">#REF!</definedName>
    <definedName name="SEQUENCIA5">#REF!</definedName>
    <definedName name="SQ">#REF!</definedName>
    <definedName name="TABELA" localSheetId="2">#REF!</definedName>
    <definedName name="TABELA">#REF!</definedName>
    <definedName name="TD">#REF!</definedName>
    <definedName name="WS">#REF!</definedName>
    <definedName name="Y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2" i="1" l="1"/>
  <c r="F22" i="1" s="1"/>
  <c r="F44" i="1" s="1"/>
  <c r="E23" i="1"/>
  <c r="F23" i="1" s="1"/>
  <c r="F45" i="1" s="1"/>
  <c r="E24" i="1"/>
  <c r="F24" i="1" s="1"/>
  <c r="F46" i="1" s="1"/>
  <c r="E25" i="1"/>
  <c r="F25" i="1" s="1"/>
  <c r="F47" i="1" s="1"/>
  <c r="E26" i="1"/>
  <c r="F26" i="1" s="1"/>
  <c r="F48" i="1" s="1"/>
  <c r="E27" i="1"/>
  <c r="F27" i="1" s="1"/>
  <c r="F49" i="1" s="1"/>
  <c r="E28" i="1"/>
  <c r="F28" i="1" s="1"/>
  <c r="F50" i="1" s="1"/>
  <c r="E29" i="1"/>
  <c r="F29" i="1" s="1"/>
  <c r="F51" i="1" s="1"/>
  <c r="E30" i="1"/>
  <c r="F30" i="1" s="1"/>
  <c r="F52" i="1" s="1"/>
  <c r="E31" i="1"/>
  <c r="F31" i="1" s="1"/>
  <c r="F53" i="1" s="1"/>
  <c r="E32" i="1"/>
  <c r="F32" i="1" s="1"/>
  <c r="E33" i="1"/>
  <c r="F33" i="1" s="1"/>
  <c r="F55" i="1" s="1"/>
  <c r="E34" i="1"/>
  <c r="F34" i="1" s="1"/>
  <c r="F56" i="1" s="1"/>
  <c r="E52" i="1"/>
  <c r="G52" i="1"/>
  <c r="H52" i="1"/>
  <c r="I52" i="1"/>
  <c r="J52" i="1"/>
  <c r="E53" i="1"/>
  <c r="G53" i="1"/>
  <c r="H53" i="1"/>
  <c r="I53" i="1"/>
  <c r="J53" i="1"/>
  <c r="E54" i="1"/>
  <c r="G54" i="1"/>
  <c r="H54" i="1"/>
  <c r="I54" i="1"/>
  <c r="J54" i="1"/>
  <c r="E55" i="1"/>
  <c r="G55" i="1"/>
  <c r="H55" i="1"/>
  <c r="I55" i="1"/>
  <c r="J55" i="1"/>
  <c r="E56" i="1"/>
  <c r="G56" i="1"/>
  <c r="H56" i="1"/>
  <c r="I56" i="1"/>
  <c r="J56" i="1"/>
  <c r="G44" i="1"/>
  <c r="H44" i="1"/>
  <c r="I44" i="1"/>
  <c r="J44" i="1"/>
  <c r="G45" i="1"/>
  <c r="H45" i="1"/>
  <c r="I45" i="1"/>
  <c r="J45" i="1"/>
  <c r="G46" i="1"/>
  <c r="H46" i="1"/>
  <c r="I46" i="1"/>
  <c r="J46" i="1"/>
  <c r="G47" i="1"/>
  <c r="H47" i="1"/>
  <c r="I47" i="1"/>
  <c r="J47" i="1"/>
  <c r="G48" i="1"/>
  <c r="H48" i="1"/>
  <c r="I48" i="1"/>
  <c r="J48" i="1"/>
  <c r="G49" i="1"/>
  <c r="H49" i="1"/>
  <c r="I49" i="1"/>
  <c r="J49" i="1"/>
  <c r="G50" i="1"/>
  <c r="H50" i="1"/>
  <c r="I50" i="1"/>
  <c r="J50" i="1"/>
  <c r="G51" i="1"/>
  <c r="H51" i="1"/>
  <c r="I51" i="1"/>
  <c r="J51" i="1"/>
  <c r="E50" i="1"/>
  <c r="E51" i="1"/>
  <c r="E44" i="1"/>
  <c r="E45" i="1"/>
  <c r="E46" i="1"/>
  <c r="E47" i="1"/>
  <c r="E48" i="1"/>
  <c r="E49" i="1"/>
  <c r="H77" i="1"/>
  <c r="H74" i="1"/>
  <c r="H72" i="1"/>
  <c r="H65" i="1"/>
  <c r="H64" i="1"/>
  <c r="H63" i="1"/>
  <c r="E64" i="1"/>
  <c r="V63" i="1"/>
  <c r="W63" i="1"/>
  <c r="V66" i="1"/>
  <c r="V67" i="1"/>
  <c r="V68" i="1"/>
  <c r="V69" i="1"/>
  <c r="V70" i="1"/>
  <c r="V71" i="1"/>
  <c r="V72" i="1"/>
  <c r="C79" i="1"/>
  <c r="G77" i="1"/>
  <c r="F77" i="1"/>
  <c r="E77" i="1"/>
  <c r="G74" i="1"/>
  <c r="F74" i="1"/>
  <c r="E74" i="1"/>
  <c r="G72" i="1"/>
  <c r="F72" i="1"/>
  <c r="E72" i="1"/>
  <c r="M67" i="1"/>
  <c r="U75" i="1"/>
  <c r="M62" i="1"/>
  <c r="M63" i="1" s="1"/>
  <c r="G62" i="1"/>
  <c r="G63" i="1" s="1"/>
  <c r="F62" i="1"/>
  <c r="F63" i="1" s="1"/>
  <c r="E62" i="1"/>
  <c r="E63" i="1" s="1"/>
  <c r="H43" i="1"/>
  <c r="G43" i="1"/>
  <c r="H42" i="1"/>
  <c r="G42" i="1"/>
  <c r="H41" i="1"/>
  <c r="G41" i="1"/>
  <c r="H40" i="1"/>
  <c r="G40" i="1"/>
  <c r="H39" i="1"/>
  <c r="G39" i="1"/>
  <c r="H38" i="1"/>
  <c r="G38" i="1"/>
  <c r="H37" i="1"/>
  <c r="G37" i="1"/>
  <c r="O32" i="1"/>
  <c r="E43" i="1"/>
  <c r="E42" i="1"/>
  <c r="E41" i="1"/>
  <c r="J41" i="1"/>
  <c r="M18" i="1"/>
  <c r="M19" i="1" s="1"/>
  <c r="M21" i="1" s="1"/>
  <c r="E40" i="1"/>
  <c r="J40" i="1"/>
  <c r="E39" i="1"/>
  <c r="J39" i="1"/>
  <c r="E38" i="1"/>
  <c r="Y66" i="1"/>
  <c r="E15" i="1"/>
  <c r="E16" i="1" s="1"/>
  <c r="E37" i="1"/>
  <c r="F12" i="1"/>
  <c r="F66" i="1" l="1"/>
  <c r="E66" i="1"/>
  <c r="I41" i="1"/>
  <c r="F54" i="1"/>
  <c r="G66" i="1"/>
  <c r="V75" i="1"/>
  <c r="J43" i="1"/>
  <c r="I42" i="1"/>
  <c r="J42" i="1"/>
  <c r="F65" i="1"/>
  <c r="G65" i="1"/>
  <c r="E65" i="1"/>
  <c r="E17" i="1"/>
  <c r="F16" i="1"/>
  <c r="F38" i="1" s="1"/>
  <c r="M68" i="1"/>
  <c r="J37" i="1"/>
  <c r="I40" i="1"/>
  <c r="J38" i="1"/>
  <c r="I37" i="1"/>
  <c r="I38" i="1"/>
  <c r="F15" i="1"/>
  <c r="F37" i="1" s="1"/>
  <c r="I43" i="1"/>
  <c r="I39" i="1"/>
  <c r="H66" i="1" l="1"/>
  <c r="F17" i="1"/>
  <c r="F39" i="1" s="1"/>
  <c r="E18" i="1"/>
  <c r="E67" i="1"/>
  <c r="G67" i="1"/>
  <c r="G68" i="1" s="1"/>
  <c r="F67" i="1"/>
  <c r="F68" i="1" s="1"/>
  <c r="E68" i="1" l="1"/>
  <c r="H68" i="1" s="1"/>
  <c r="H67" i="1"/>
  <c r="E19" i="1"/>
  <c r="F18" i="1"/>
  <c r="F40" i="1" s="1"/>
  <c r="E20" i="1" l="1"/>
  <c r="F19" i="1"/>
  <c r="F41" i="1" s="1"/>
  <c r="F20" i="1" l="1"/>
  <c r="F42" i="1" s="1"/>
  <c r="E21" i="1"/>
  <c r="F21" i="1" s="1"/>
  <c r="F43" i="1" l="1"/>
  <c r="Y67" i="1"/>
  <c r="M22" i="1" s="1"/>
</calcChain>
</file>

<file path=xl/sharedStrings.xml><?xml version="1.0" encoding="utf-8"?>
<sst xmlns="http://schemas.openxmlformats.org/spreadsheetml/2006/main" count="351" uniqueCount="224">
  <si>
    <t>Controle de Qualidade (C.A.U.Q.)</t>
  </si>
  <si>
    <t>Revisão</t>
  </si>
  <si>
    <t>Data:</t>
  </si>
  <si>
    <t>Identificação:</t>
  </si>
  <si>
    <t>Referência:</t>
  </si>
  <si>
    <t>Rodovia</t>
  </si>
  <si>
    <t>Trecho</t>
  </si>
  <si>
    <t>Sub-Trecho</t>
  </si>
  <si>
    <t>Horário</t>
  </si>
  <si>
    <t>Densidade Relativa do Cap</t>
  </si>
  <si>
    <t>BR-277</t>
  </si>
  <si>
    <t>Extração de Ligante (Rotarex)                                               DNER-ME 053/94</t>
  </si>
  <si>
    <t>Nº Projeto</t>
  </si>
  <si>
    <t>Material</t>
  </si>
  <si>
    <t>Usina Fornecedora</t>
  </si>
  <si>
    <t>Local de coleta</t>
  </si>
  <si>
    <t xml:space="preserve">Extração de Ligante (Soxhlet)                                               DNIT 158/2011 - ME                                               </t>
  </si>
  <si>
    <t>001-R.02/2025</t>
  </si>
  <si>
    <t>CAUQ</t>
  </si>
  <si>
    <t>Nova Serrinha</t>
  </si>
  <si>
    <t>Usina Nova Serrinha</t>
  </si>
  <si>
    <t>Placa Caminhão</t>
  </si>
  <si>
    <t>Faixa:</t>
  </si>
  <si>
    <t>Obra</t>
  </si>
  <si>
    <t>Condições do Tempo</t>
  </si>
  <si>
    <t>Operador</t>
  </si>
  <si>
    <t>SFE2H54</t>
  </si>
  <si>
    <t>Restauração de Pavimento</t>
  </si>
  <si>
    <t>Bom</t>
  </si>
  <si>
    <t>Felipe Coelho</t>
  </si>
  <si>
    <t>Teor</t>
  </si>
  <si>
    <t>Teor Mím</t>
  </si>
  <si>
    <t>Teor Máx</t>
  </si>
  <si>
    <t>Peneiras</t>
  </si>
  <si>
    <t>Peso da Amostra (g):</t>
  </si>
  <si>
    <t>Faixa de Trabalho</t>
  </si>
  <si>
    <t>Faixa Especificada</t>
  </si>
  <si>
    <t xml:space="preserve">DNIT 412/2025 - ME </t>
  </si>
  <si>
    <t>3/4'</t>
  </si>
  <si>
    <t>ASTM</t>
  </si>
  <si>
    <t>(mm)</t>
  </si>
  <si>
    <t>Retido (g)</t>
  </si>
  <si>
    <t>Pass. (g)</t>
  </si>
  <si>
    <t>% Pass.</t>
  </si>
  <si>
    <t>Min. (%)</t>
  </si>
  <si>
    <t>Máx. (%)</t>
  </si>
  <si>
    <t>Acumulado</t>
  </si>
  <si>
    <t>Individual</t>
  </si>
  <si>
    <t>1/2'</t>
  </si>
  <si>
    <t>Temperatura CAP (°C)</t>
  </si>
  <si>
    <t>3/8'</t>
  </si>
  <si>
    <t>Amostra com Ligante (g)</t>
  </si>
  <si>
    <t>#4</t>
  </si>
  <si>
    <t>Amostra sem Ligante (g)</t>
  </si>
  <si>
    <t>#10</t>
  </si>
  <si>
    <t>Peso do Ligante (g)</t>
  </si>
  <si>
    <t>#40</t>
  </si>
  <si>
    <t>Teor de Ligante (%)</t>
  </si>
  <si>
    <t>#80</t>
  </si>
  <si>
    <t xml:space="preserve">Fator - Asfalto Borracha </t>
  </si>
  <si>
    <t>#200</t>
  </si>
  <si>
    <t/>
  </si>
  <si>
    <t>Filler/Betume</t>
  </si>
  <si>
    <t>Correção Temperatura da água</t>
  </si>
  <si>
    <t>Abertura (mm)</t>
  </si>
  <si>
    <t>Faixa de Trabalho - Lim. Mínimo</t>
  </si>
  <si>
    <t>Faixa de Trabalho - Lim. Máximo</t>
  </si>
  <si>
    <t>Especificação - Lim. Mínimo</t>
  </si>
  <si>
    <t>Especificação - Lim. Máximo</t>
  </si>
  <si>
    <t>Marshall - DNIT 428/22 - NBR 15087/12</t>
  </si>
  <si>
    <t>Corpo de Prova</t>
  </si>
  <si>
    <t>Média</t>
  </si>
  <si>
    <t>Especificações</t>
  </si>
  <si>
    <t>RICE - DNIT 427/20 
 ABNT NBR 15619/16</t>
  </si>
  <si>
    <t>Mínimo</t>
  </si>
  <si>
    <t>Máximo</t>
  </si>
  <si>
    <t>Peso Ar</t>
  </si>
  <si>
    <t>-</t>
  </si>
  <si>
    <t>Fr+Água</t>
  </si>
  <si>
    <t>Peso Imerso</t>
  </si>
  <si>
    <t>Amostra</t>
  </si>
  <si>
    <t>Peso SSS</t>
  </si>
  <si>
    <t>Fr+Água+Am</t>
  </si>
  <si>
    <t>Volume</t>
  </si>
  <si>
    <t>Temperatura</t>
  </si>
  <si>
    <t xml:space="preserve">Densidade Aparente DNIT 428/2022 - ME </t>
  </si>
  <si>
    <t>Densidade</t>
  </si>
  <si>
    <t>Densidade  RICE</t>
  </si>
  <si>
    <t>Umidade</t>
  </si>
  <si>
    <t>Vazios (%)</t>
  </si>
  <si>
    <t>Massa úmida (g):</t>
  </si>
  <si>
    <t>V.C.B.(%)</t>
  </si>
  <si>
    <t>Massa Seca (g):</t>
  </si>
  <si>
    <t>V.A.M.(%)</t>
  </si>
  <si>
    <t>Teor Umidade (%):</t>
  </si>
  <si>
    <t>R.B.V.(%)</t>
  </si>
  <si>
    <t>Teor de Ligante Real:</t>
  </si>
  <si>
    <t>Altura (cm)</t>
  </si>
  <si>
    <t>Const. Prensa</t>
  </si>
  <si>
    <t>DNIT 136/2018</t>
  </si>
  <si>
    <t>Leitura (Kgf/cm²)</t>
  </si>
  <si>
    <t>RTCD (MPa)</t>
  </si>
  <si>
    <t>DNIT 447/2024 - ME</t>
  </si>
  <si>
    <t>Estabilidade Corrigida</t>
  </si>
  <si>
    <t>Fluência (Leit. Inicial)</t>
  </si>
  <si>
    <t>Fluência (Leit. Final)</t>
  </si>
  <si>
    <t>Fluência (mm)</t>
  </si>
  <si>
    <t>Andréia Raffler</t>
  </si>
  <si>
    <t>ENC. DE LABORATÓRIO</t>
  </si>
  <si>
    <t>ENG. RESPONSÁVEL</t>
  </si>
  <si>
    <t>ES - P 21/17</t>
  </si>
  <si>
    <t>1'</t>
  </si>
  <si>
    <t>Protocolo</t>
  </si>
  <si>
    <t>Registro</t>
  </si>
  <si>
    <t>Data Ensaio</t>
  </si>
  <si>
    <t>Data recebimento</t>
  </si>
  <si>
    <t>REG_NORMA</t>
  </si>
  <si>
    <t>PROC</t>
  </si>
  <si>
    <t>Pen_01</t>
  </si>
  <si>
    <t>Pen_02</t>
  </si>
  <si>
    <t>Pen_03</t>
  </si>
  <si>
    <t>Pen_04</t>
  </si>
  <si>
    <t>Pen_05</t>
  </si>
  <si>
    <t>Pen_06</t>
  </si>
  <si>
    <t>Pen_07</t>
  </si>
  <si>
    <t>Pen_08</t>
  </si>
  <si>
    <t>Pen_09</t>
  </si>
  <si>
    <t>Pen_10</t>
  </si>
  <si>
    <t>Pen_11</t>
  </si>
  <si>
    <t>Pen_12</t>
  </si>
  <si>
    <t>Pen_13</t>
  </si>
  <si>
    <t>Pen_14</t>
  </si>
  <si>
    <t>Pen_15</t>
  </si>
  <si>
    <t>Pen_16</t>
  </si>
  <si>
    <t>Pen_17</t>
  </si>
  <si>
    <t>Pen_18</t>
  </si>
  <si>
    <t>Pen_19</t>
  </si>
  <si>
    <t>Pen_20</t>
  </si>
  <si>
    <t>Abert_Pen_01</t>
  </si>
  <si>
    <t>Abert_Pen_02</t>
  </si>
  <si>
    <t>Abert_Pen_03</t>
  </si>
  <si>
    <t>Abert_Pen_04</t>
  </si>
  <si>
    <t>Abert_Pen_05</t>
  </si>
  <si>
    <t>Abert_Pen_06</t>
  </si>
  <si>
    <t>Abert_Pen_07</t>
  </si>
  <si>
    <t>Abert_Pen_08</t>
  </si>
  <si>
    <t>Abert_Pen_09</t>
  </si>
  <si>
    <t>Abert_Pen_10</t>
  </si>
  <si>
    <t>Abert_Pen_11</t>
  </si>
  <si>
    <t>Abert_Pen_12</t>
  </si>
  <si>
    <t>Abert_Pen_13</t>
  </si>
  <si>
    <t>Abert_Pen_14</t>
  </si>
  <si>
    <t>Abert_Pen_15</t>
  </si>
  <si>
    <t>Abert_Pen_16</t>
  </si>
  <si>
    <t>Abert_Pen_17</t>
  </si>
  <si>
    <t>Abert_Pen_18</t>
  </si>
  <si>
    <t>Abert_Pen_19</t>
  </si>
  <si>
    <t>Abert_Pen_20</t>
  </si>
  <si>
    <t>Fx_min_Pen_01</t>
  </si>
  <si>
    <t>Fx_min_Pen_02</t>
  </si>
  <si>
    <t>Fx_min_Pen_03</t>
  </si>
  <si>
    <t>Fx_min_Pen_04</t>
  </si>
  <si>
    <t>Fx_min_Pen_05</t>
  </si>
  <si>
    <t>Fx_min_Pen_06</t>
  </si>
  <si>
    <t>Fx_min_Pen_07</t>
  </si>
  <si>
    <t>Fx_min_Pen_08</t>
  </si>
  <si>
    <t>Fx_min_Pen_09</t>
  </si>
  <si>
    <t>Fx_min_Pen_10</t>
  </si>
  <si>
    <t>Fx_min_Pen_11</t>
  </si>
  <si>
    <t>Fx_min_Pen_12</t>
  </si>
  <si>
    <t>Fx_min_Pen_13</t>
  </si>
  <si>
    <t>Fx_min_Pen_14</t>
  </si>
  <si>
    <t>Fx_min_Pen_15</t>
  </si>
  <si>
    <t>Fx_min_Pen_16</t>
  </si>
  <si>
    <t>Fx_min_Pen_17</t>
  </si>
  <si>
    <t>Fx_min_Pen_18</t>
  </si>
  <si>
    <t>Fx_min_Pen_19</t>
  </si>
  <si>
    <t>Fx_min_Pen_20</t>
  </si>
  <si>
    <t>Fx_max_Pen_01</t>
  </si>
  <si>
    <t>Fx_max_Pen_02</t>
  </si>
  <si>
    <t>Fx_max_Pen_03</t>
  </si>
  <si>
    <t>Fx_max_Pen_04</t>
  </si>
  <si>
    <t>Fx_max_Pen_05</t>
  </si>
  <si>
    <t>Fx_max_Pen_06</t>
  </si>
  <si>
    <t>Fx_max_Pen_07</t>
  </si>
  <si>
    <t>Fx_max_Pen_08</t>
  </si>
  <si>
    <t>Fx_max_Pen_09</t>
  </si>
  <si>
    <t>Fx_max_Pen_10</t>
  </si>
  <si>
    <t>Fx_max_Pen_11</t>
  </si>
  <si>
    <t>Fx_max_Pen_12</t>
  </si>
  <si>
    <t>Fx_max_Pen_13</t>
  </si>
  <si>
    <t>Fx_max_Pen_14</t>
  </si>
  <si>
    <t>Fx_max_Pen_15</t>
  </si>
  <si>
    <t>Fx_max_Pen_16</t>
  </si>
  <si>
    <t>Fx_max_Pen_17</t>
  </si>
  <si>
    <t>Fx_max_Pen_18</t>
  </si>
  <si>
    <t>Fx_max_Pen_19</t>
  </si>
  <si>
    <t>Fx_max_Pen_20</t>
  </si>
  <si>
    <t>VV_min</t>
  </si>
  <si>
    <t>VV_max</t>
  </si>
  <si>
    <t>RBV_min</t>
  </si>
  <si>
    <t>RBV_max</t>
  </si>
  <si>
    <t>VAM_min</t>
  </si>
  <si>
    <t>Filler_Asf_min</t>
  </si>
  <si>
    <t>Filler_Asf_max</t>
  </si>
  <si>
    <t>RTCD_min</t>
  </si>
  <si>
    <t>DUI_min</t>
  </si>
  <si>
    <t>Estab_min</t>
  </si>
  <si>
    <t>Fluen_min</t>
  </si>
  <si>
    <t>Fluen_max</t>
  </si>
  <si>
    <t>ID_PROJ</t>
  </si>
  <si>
    <t>PROJ</t>
  </si>
  <si>
    <t>Teor_otimo</t>
  </si>
  <si>
    <t>Fx_gran_trabalho</t>
  </si>
  <si>
    <t>VAM</t>
  </si>
  <si>
    <t>RBV</t>
  </si>
  <si>
    <t>VV</t>
  </si>
  <si>
    <t>Estabilidade</t>
  </si>
  <si>
    <t>Fluencia</t>
  </si>
  <si>
    <t>Densidade_aparente</t>
  </si>
  <si>
    <t>DUI</t>
  </si>
  <si>
    <t>Observacoes</t>
  </si>
  <si>
    <t>Teor_minimo</t>
  </si>
  <si>
    <t>Teor_maximo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</si>
</sst>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-* #,##0.00_-;\-* #,##0.00_-;_-* &quot;-&quot;??_-;_-@_-"/>
    <numFmt numFmtId="164" formatCode="h:mm;@"/>
    <numFmt numFmtId="165" formatCode="dd/mm/yy;@"/>
    <numFmt numFmtId="166" formatCode="0.0"/>
    <numFmt numFmtId="167" formatCode="0.0000"/>
    <numFmt numFmtId="168" formatCode="0.0%"/>
    <numFmt numFmtId="169" formatCode="0.000"/>
    <numFmt numFmtId="170" formatCode="General&quot;º C&quot;"/>
    <numFmt numFmtId="171" formatCode="_(* #,##0.00_);_(* \(#,##0.00\);_(* &quot;-&quot;??_);_(@_)"/>
    <numFmt numFmtId="172" formatCode="#,##0.000_);\(#,##0.000\)"/>
    <numFmt numFmtId="173" formatCode="#,##0.0"/>
    <numFmt numFmtId="174" formatCode="#,##0.000"/>
    <numFmt numFmtId="175" formatCode="#,#00"/>
  </numFmts>
  <fonts count="2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6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Aptos Narrow"/>
      <family val="2"/>
      <scheme val="minor"/>
    </font>
    <font>
      <b/>
      <sz val="12"/>
      <color rgb="FFFF0000"/>
      <name val="Arial"/>
      <family val="2"/>
    </font>
    <font>
      <b/>
      <sz val="10"/>
      <color theme="1"/>
      <name val="Arial"/>
      <family val="2"/>
    </font>
    <font>
      <sz val="11"/>
      <name val="Aptos Narrow"/>
      <family val="2"/>
      <scheme val="minor"/>
    </font>
    <font>
      <sz val="18"/>
      <color theme="1"/>
      <name val="Freestyle Script"/>
      <family val="4"/>
    </font>
    <font>
      <sz val="10"/>
      <color theme="1"/>
      <name val="Times New Roman"/>
      <family val="1"/>
    </font>
    <font>
      <b/>
      <sz val="16"/>
      <color theme="1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sz val="9"/>
      <name val="Times New Roman"/>
      <family val="1"/>
    </font>
    <font>
      <b/>
      <sz val="1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name val="Arial"/>
      <family val="2"/>
    </font>
    <font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57B9D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171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" fillId="0" borderId="0"/>
    <xf numFmtId="0" fontId="5" fillId="0" borderId="0"/>
    <xf numFmtId="43" fontId="1" fillId="0" borderId="0" applyFont="0" applyFill="0" applyBorder="0" applyAlignment="0" applyProtection="0"/>
  </cellStyleXfs>
  <cellXfs count="320">
    <xf numFmtId="0" fontId="0" fillId="0" borderId="0" xfId="0"/>
    <xf numFmtId="0" fontId="2" fillId="2" borderId="1" xfId="3" applyFont="1" applyFill="1" applyBorder="1"/>
    <xf numFmtId="0" fontId="2" fillId="2" borderId="2" xfId="3" applyFont="1" applyFill="1" applyBorder="1"/>
    <xf numFmtId="0" fontId="2" fillId="2" borderId="3" xfId="3" applyFont="1" applyFill="1" applyBorder="1"/>
    <xf numFmtId="0" fontId="2" fillId="0" borderId="0" xfId="3" applyFont="1"/>
    <xf numFmtId="0" fontId="2" fillId="2" borderId="4" xfId="3" applyFont="1" applyFill="1" applyBorder="1"/>
    <xf numFmtId="0" fontId="3" fillId="2" borderId="9" xfId="3" applyFont="1" applyFill="1" applyBorder="1" applyAlignment="1">
      <alignment horizontal="center" vertical="center" wrapText="1"/>
    </xf>
    <xf numFmtId="0" fontId="2" fillId="3" borderId="0" xfId="3" applyFont="1" applyFill="1"/>
    <xf numFmtId="0" fontId="4" fillId="0" borderId="0" xfId="3" applyFont="1"/>
    <xf numFmtId="0" fontId="6" fillId="2" borderId="0" xfId="4" applyFont="1" applyFill="1" applyAlignment="1">
      <alignment horizontal="center" vertical="center" wrapText="1"/>
    </xf>
    <xf numFmtId="0" fontId="7" fillId="0" borderId="0" xfId="3" applyFont="1"/>
    <xf numFmtId="0" fontId="2" fillId="2" borderId="4" xfId="3" applyFont="1" applyFill="1" applyBorder="1" applyAlignment="1">
      <alignment vertical="center"/>
    </xf>
    <xf numFmtId="0" fontId="4" fillId="2" borderId="9" xfId="3" applyFont="1" applyFill="1" applyBorder="1" applyAlignment="1">
      <alignment horizontal="center" vertical="center" wrapText="1"/>
    </xf>
    <xf numFmtId="0" fontId="2" fillId="0" borderId="0" xfId="3" applyFont="1" applyAlignment="1">
      <alignment vertical="center"/>
    </xf>
    <xf numFmtId="164" fontId="5" fillId="2" borderId="9" xfId="3" applyNumberFormat="1" applyFont="1" applyFill="1" applyBorder="1" applyAlignment="1">
      <alignment horizontal="center" vertical="center"/>
    </xf>
    <xf numFmtId="165" fontId="5" fillId="2" borderId="9" xfId="3" applyNumberFormat="1" applyFont="1" applyFill="1" applyBorder="1" applyAlignment="1">
      <alignment horizontal="center" vertical="center"/>
    </xf>
    <xf numFmtId="0" fontId="2" fillId="0" borderId="0" xfId="3" applyFont="1" applyAlignment="1">
      <alignment horizontal="center" vertical="center"/>
    </xf>
    <xf numFmtId="2" fontId="4" fillId="2" borderId="9" xfId="3" applyNumberFormat="1" applyFont="1" applyFill="1" applyBorder="1" applyAlignment="1">
      <alignment horizontal="center" vertical="center"/>
    </xf>
    <xf numFmtId="0" fontId="5" fillId="2" borderId="9" xfId="3" applyFont="1" applyFill="1" applyBorder="1" applyAlignment="1">
      <alignment horizontal="center" vertical="center"/>
    </xf>
    <xf numFmtId="0" fontId="8" fillId="2" borderId="9" xfId="3" applyFont="1" applyFill="1" applyBorder="1" applyAlignment="1">
      <alignment horizontal="center" vertical="center" wrapText="1"/>
    </xf>
    <xf numFmtId="0" fontId="5" fillId="0" borderId="0" xfId="3" applyFont="1" applyAlignment="1">
      <alignment vertical="center"/>
    </xf>
    <xf numFmtId="166" fontId="2" fillId="2" borderId="9" xfId="3" applyNumberFormat="1" applyFont="1" applyFill="1" applyBorder="1" applyAlignment="1">
      <alignment horizontal="center" vertical="center" wrapText="1"/>
    </xf>
    <xf numFmtId="166" fontId="2" fillId="6" borderId="0" xfId="3" applyNumberFormat="1" applyFont="1" applyFill="1" applyAlignment="1" applyProtection="1">
      <alignment horizontal="center" vertical="center"/>
      <protection locked="0"/>
    </xf>
    <xf numFmtId="2" fontId="8" fillId="2" borderId="9" xfId="3" applyNumberFormat="1" applyFont="1" applyFill="1" applyBorder="1" applyAlignment="1">
      <alignment horizontal="center" vertical="center" wrapText="1"/>
    </xf>
    <xf numFmtId="166" fontId="8" fillId="2" borderId="9" xfId="3" applyNumberFormat="1" applyFont="1" applyFill="1" applyBorder="1" applyAlignment="1">
      <alignment horizontal="center" vertical="center"/>
    </xf>
    <xf numFmtId="166" fontId="2" fillId="2" borderId="9" xfId="3" applyNumberFormat="1" applyFont="1" applyFill="1" applyBorder="1" applyAlignment="1">
      <alignment horizontal="center" vertical="center"/>
    </xf>
    <xf numFmtId="166" fontId="2" fillId="2" borderId="9" xfId="3" applyNumberFormat="1" applyFont="1" applyFill="1" applyBorder="1" applyAlignment="1">
      <alignment horizontal="center"/>
    </xf>
    <xf numFmtId="0" fontId="5" fillId="0" borderId="0" xfId="3" applyFont="1"/>
    <xf numFmtId="0" fontId="2" fillId="0" borderId="10" xfId="3" applyFont="1" applyBorder="1"/>
    <xf numFmtId="0" fontId="2" fillId="0" borderId="11" xfId="3" applyFont="1" applyBorder="1"/>
    <xf numFmtId="0" fontId="2" fillId="2" borderId="9" xfId="3" applyFont="1" applyFill="1" applyBorder="1"/>
    <xf numFmtId="0" fontId="9" fillId="2" borderId="0" xfId="4" applyFont="1" applyFill="1" applyAlignment="1">
      <alignment horizontal="center" vertical="center" wrapText="1"/>
    </xf>
    <xf numFmtId="169" fontId="4" fillId="2" borderId="9" xfId="4" applyNumberFormat="1" applyFont="1" applyFill="1" applyBorder="1" applyAlignment="1" applyProtection="1">
      <alignment horizontal="center" vertical="center" wrapText="1"/>
      <protection locked="0"/>
    </xf>
    <xf numFmtId="2" fontId="5" fillId="2" borderId="9" xfId="4" applyNumberFormat="1" applyFill="1" applyBorder="1" applyAlignment="1">
      <alignment horizontal="center" vertical="center"/>
    </xf>
    <xf numFmtId="169" fontId="5" fillId="2" borderId="9" xfId="4" applyNumberFormat="1" applyFill="1" applyBorder="1" applyAlignment="1" applyProtection="1">
      <alignment horizontal="center" vertical="center"/>
      <protection hidden="1"/>
    </xf>
    <xf numFmtId="169" fontId="4" fillId="2" borderId="9" xfId="4" applyNumberFormat="1" applyFont="1" applyFill="1" applyBorder="1" applyAlignment="1">
      <alignment horizontal="center" vertical="center"/>
    </xf>
    <xf numFmtId="2" fontId="5" fillId="2" borderId="9" xfId="4" applyNumberFormat="1" applyFill="1" applyBorder="1" applyAlignment="1" applyProtection="1">
      <alignment horizontal="center" vertical="center"/>
      <protection hidden="1"/>
    </xf>
    <xf numFmtId="2" fontId="4" fillId="2" borderId="9" xfId="4" applyNumberFormat="1" applyFont="1" applyFill="1" applyBorder="1" applyAlignment="1" applyProtection="1">
      <alignment horizontal="center" vertical="center"/>
      <protection locked="0"/>
    </xf>
    <xf numFmtId="169" fontId="5" fillId="2" borderId="9" xfId="4" applyNumberFormat="1" applyFill="1" applyBorder="1" applyAlignment="1" applyProtection="1">
      <alignment vertical="center"/>
      <protection locked="0"/>
    </xf>
    <xf numFmtId="3" fontId="5" fillId="2" borderId="9" xfId="4" applyNumberFormat="1" applyFill="1" applyBorder="1" applyAlignment="1" applyProtection="1">
      <alignment vertical="center"/>
      <protection locked="0"/>
    </xf>
    <xf numFmtId="169" fontId="5" fillId="2" borderId="9" xfId="4" applyNumberFormat="1" applyFill="1" applyBorder="1" applyAlignment="1" applyProtection="1">
      <alignment vertical="center" wrapText="1"/>
      <protection locked="0"/>
    </xf>
    <xf numFmtId="0" fontId="2" fillId="0" borderId="12" xfId="3" applyFont="1" applyBorder="1"/>
    <xf numFmtId="0" fontId="2" fillId="0" borderId="13" xfId="3" applyFont="1" applyBorder="1"/>
    <xf numFmtId="0" fontId="2" fillId="0" borderId="14" xfId="3" applyFont="1" applyBorder="1"/>
    <xf numFmtId="0" fontId="2" fillId="2" borderId="65" xfId="3" applyFont="1" applyFill="1" applyBorder="1"/>
    <xf numFmtId="0" fontId="2" fillId="2" borderId="66" xfId="3" applyFont="1" applyFill="1" applyBorder="1"/>
    <xf numFmtId="0" fontId="2" fillId="2" borderId="67" xfId="3" applyFont="1" applyFill="1" applyBorder="1"/>
    <xf numFmtId="0" fontId="11" fillId="2" borderId="5" xfId="3" applyFont="1" applyFill="1" applyBorder="1"/>
    <xf numFmtId="0" fontId="11" fillId="2" borderId="6" xfId="3" applyFont="1" applyFill="1" applyBorder="1"/>
    <xf numFmtId="0" fontId="11" fillId="2" borderId="10" xfId="3" applyFont="1" applyFill="1" applyBorder="1"/>
    <xf numFmtId="0" fontId="11" fillId="2" borderId="0" xfId="3" applyFont="1" applyFill="1"/>
    <xf numFmtId="0" fontId="11" fillId="2" borderId="12" xfId="3" applyFont="1" applyFill="1" applyBorder="1"/>
    <xf numFmtId="0" fontId="11" fillId="2" borderId="13" xfId="3" applyFont="1" applyFill="1" applyBorder="1"/>
    <xf numFmtId="0" fontId="14" fillId="2" borderId="8" xfId="3" applyFont="1" applyFill="1" applyBorder="1" applyAlignment="1">
      <alignment horizontal="center" vertical="center" wrapText="1"/>
    </xf>
    <xf numFmtId="0" fontId="11" fillId="2" borderId="8" xfId="3" applyFont="1" applyFill="1" applyBorder="1" applyAlignment="1">
      <alignment horizontal="center" vertical="center"/>
    </xf>
    <xf numFmtId="0" fontId="11" fillId="2" borderId="8" xfId="3" applyFont="1" applyFill="1" applyBorder="1" applyAlignment="1">
      <alignment horizontal="center" vertical="center" wrapText="1"/>
    </xf>
    <xf numFmtId="0" fontId="14" fillId="5" borderId="8" xfId="3" applyFont="1" applyFill="1" applyBorder="1" applyAlignment="1">
      <alignment horizontal="center" vertical="center" wrapText="1"/>
    </xf>
    <xf numFmtId="16" fontId="11" fillId="2" borderId="8" xfId="3" applyNumberFormat="1" applyFont="1" applyFill="1" applyBorder="1" applyAlignment="1">
      <alignment horizontal="center" vertical="center"/>
    </xf>
    <xf numFmtId="2" fontId="11" fillId="2" borderId="8" xfId="3" applyNumberFormat="1" applyFont="1" applyFill="1" applyBorder="1" applyAlignment="1">
      <alignment horizontal="center" vertical="center"/>
    </xf>
    <xf numFmtId="166" fontId="14" fillId="5" borderId="8" xfId="3" applyNumberFormat="1" applyFont="1" applyFill="1" applyBorder="1" applyAlignment="1">
      <alignment horizontal="center" vertical="center"/>
    </xf>
    <xf numFmtId="166" fontId="11" fillId="2" borderId="8" xfId="3" applyNumberFormat="1" applyFont="1" applyFill="1" applyBorder="1" applyAlignment="1">
      <alignment horizontal="center" vertical="center"/>
    </xf>
    <xf numFmtId="166" fontId="16" fillId="0" borderId="8" xfId="3" applyNumberFormat="1" applyFont="1" applyBorder="1" applyAlignment="1">
      <alignment horizontal="center" vertical="center"/>
    </xf>
    <xf numFmtId="166" fontId="11" fillId="5" borderId="8" xfId="3" applyNumberFormat="1" applyFont="1" applyFill="1" applyBorder="1" applyAlignment="1">
      <alignment horizontal="center" vertical="center"/>
    </xf>
    <xf numFmtId="1" fontId="11" fillId="5" borderId="8" xfId="3" applyNumberFormat="1" applyFont="1" applyFill="1" applyBorder="1" applyAlignment="1">
      <alignment horizontal="center" vertical="center" wrapText="1"/>
    </xf>
    <xf numFmtId="166" fontId="11" fillId="5" borderId="8" xfId="3" applyNumberFormat="1" applyFont="1" applyFill="1" applyBorder="1" applyAlignment="1">
      <alignment horizontal="center" vertical="center" wrapText="1"/>
    </xf>
    <xf numFmtId="166" fontId="11" fillId="0" borderId="8" xfId="3" applyNumberFormat="1" applyFont="1" applyBorder="1" applyAlignment="1">
      <alignment horizontal="center" vertical="center" wrapText="1"/>
    </xf>
    <xf numFmtId="2" fontId="16" fillId="0" borderId="8" xfId="3" applyNumberFormat="1" applyFont="1" applyBorder="1" applyAlignment="1">
      <alignment horizontal="center" vertical="center" wrapText="1"/>
    </xf>
    <xf numFmtId="2" fontId="16" fillId="0" borderId="8" xfId="3" applyNumberFormat="1" applyFont="1" applyBorder="1" applyAlignment="1">
      <alignment horizontal="center" vertical="center"/>
    </xf>
    <xf numFmtId="0" fontId="11" fillId="2" borderId="8" xfId="3" applyFont="1" applyFill="1" applyBorder="1" applyAlignment="1">
      <alignment horizontal="center"/>
    </xf>
    <xf numFmtId="2" fontId="11" fillId="2" borderId="8" xfId="3" applyNumberFormat="1" applyFont="1" applyFill="1" applyBorder="1" applyAlignment="1">
      <alignment horizontal="center"/>
    </xf>
    <xf numFmtId="166" fontId="14" fillId="5" borderId="8" xfId="3" applyNumberFormat="1" applyFont="1" applyFill="1" applyBorder="1" applyAlignment="1">
      <alignment horizontal="center"/>
    </xf>
    <xf numFmtId="166" fontId="11" fillId="2" borderId="8" xfId="3" applyNumberFormat="1" applyFont="1" applyFill="1" applyBorder="1" applyAlignment="1">
      <alignment horizontal="center"/>
    </xf>
    <xf numFmtId="166" fontId="11" fillId="5" borderId="8" xfId="3" applyNumberFormat="1" applyFont="1" applyFill="1" applyBorder="1" applyAlignment="1">
      <alignment horizontal="center"/>
    </xf>
    <xf numFmtId="0" fontId="11" fillId="2" borderId="10" xfId="3" applyFont="1" applyFill="1" applyBorder="1" applyAlignment="1">
      <alignment horizontal="center" wrapText="1"/>
    </xf>
    <xf numFmtId="0" fontId="11" fillId="2" borderId="0" xfId="3" applyFont="1" applyFill="1" applyAlignment="1">
      <alignment horizontal="center" wrapText="1"/>
    </xf>
    <xf numFmtId="166" fontId="11" fillId="0" borderId="11" xfId="3" applyNumberFormat="1" applyFont="1" applyBorder="1" applyAlignment="1">
      <alignment horizontal="center"/>
    </xf>
    <xf numFmtId="0" fontId="11" fillId="0" borderId="10" xfId="3" applyFont="1" applyBorder="1"/>
    <xf numFmtId="0" fontId="11" fillId="0" borderId="0" xfId="3" applyFont="1"/>
    <xf numFmtId="0" fontId="11" fillId="0" borderId="11" xfId="3" applyFont="1" applyBorder="1"/>
    <xf numFmtId="1" fontId="17" fillId="0" borderId="0" xfId="3" applyNumberFormat="1" applyFont="1" applyAlignment="1">
      <alignment horizontal="center" vertical="center"/>
    </xf>
    <xf numFmtId="166" fontId="11" fillId="0" borderId="0" xfId="3" applyNumberFormat="1" applyFont="1" applyAlignment="1">
      <alignment horizontal="center"/>
    </xf>
    <xf numFmtId="0" fontId="16" fillId="2" borderId="0" xfId="3" applyFont="1" applyFill="1"/>
    <xf numFmtId="0" fontId="16" fillId="2" borderId="0" xfId="3" applyFont="1" applyFill="1" applyAlignment="1" applyProtection="1">
      <alignment wrapText="1"/>
      <protection locked="0"/>
    </xf>
    <xf numFmtId="0" fontId="16" fillId="0" borderId="0" xfId="3" applyFont="1"/>
    <xf numFmtId="1" fontId="13" fillId="4" borderId="27" xfId="4" applyNumberFormat="1" applyFont="1" applyFill="1" applyBorder="1" applyAlignment="1" applyProtection="1">
      <alignment horizontal="center" vertical="center"/>
      <protection locked="0"/>
    </xf>
    <xf numFmtId="166" fontId="14" fillId="2" borderId="28" xfId="4" applyNumberFormat="1" applyFont="1" applyFill="1" applyBorder="1" applyAlignment="1" applyProtection="1">
      <alignment horizontal="left" vertical="center"/>
      <protection locked="0"/>
    </xf>
    <xf numFmtId="166" fontId="14" fillId="2" borderId="29" xfId="4" applyNumberFormat="1" applyFont="1" applyFill="1" applyBorder="1" applyAlignment="1" applyProtection="1">
      <alignment horizontal="center" vertical="center"/>
      <protection locked="0"/>
    </xf>
    <xf numFmtId="166" fontId="14" fillId="5" borderId="28" xfId="4" applyNumberFormat="1" applyFont="1" applyFill="1" applyBorder="1" applyAlignment="1">
      <alignment horizontal="center" vertical="center"/>
    </xf>
    <xf numFmtId="166" fontId="14" fillId="5" borderId="30" xfId="4" applyNumberFormat="1" applyFont="1" applyFill="1" applyBorder="1" applyAlignment="1">
      <alignment horizontal="center" vertical="center"/>
    </xf>
    <xf numFmtId="166" fontId="14" fillId="5" borderId="31" xfId="4" applyNumberFormat="1" applyFont="1" applyFill="1" applyBorder="1" applyAlignment="1">
      <alignment horizontal="center" vertical="center"/>
    </xf>
    <xf numFmtId="166" fontId="13" fillId="2" borderId="32" xfId="4" applyNumberFormat="1" applyFont="1" applyFill="1" applyBorder="1" applyAlignment="1" applyProtection="1">
      <alignment horizontal="center" vertical="center"/>
      <protection locked="0"/>
    </xf>
    <xf numFmtId="169" fontId="14" fillId="2" borderId="33" xfId="4" applyNumberFormat="1" applyFont="1" applyFill="1" applyBorder="1" applyAlignment="1">
      <alignment horizontal="left" vertical="center"/>
    </xf>
    <xf numFmtId="169" fontId="14" fillId="2" borderId="34" xfId="4" applyNumberFormat="1" applyFont="1" applyFill="1" applyBorder="1" applyAlignment="1">
      <alignment horizontal="center" vertical="center"/>
    </xf>
    <xf numFmtId="166" fontId="14" fillId="5" borderId="7" xfId="4" applyNumberFormat="1" applyFont="1" applyFill="1" applyBorder="1" applyAlignment="1">
      <alignment horizontal="center" vertical="center"/>
    </xf>
    <xf numFmtId="166" fontId="14" fillId="2" borderId="35" xfId="4" applyNumberFormat="1" applyFont="1" applyFill="1" applyBorder="1" applyAlignment="1" applyProtection="1">
      <alignment horizontal="left" vertical="center"/>
      <protection locked="0"/>
    </xf>
    <xf numFmtId="166" fontId="14" fillId="2" borderId="36" xfId="4" applyNumberFormat="1" applyFont="1" applyFill="1" applyBorder="1" applyAlignment="1" applyProtection="1">
      <alignment horizontal="center" vertical="center"/>
      <protection locked="0"/>
    </xf>
    <xf numFmtId="166" fontId="14" fillId="5" borderId="37" xfId="4" applyNumberFormat="1" applyFont="1" applyFill="1" applyBorder="1" applyAlignment="1">
      <alignment horizontal="center" vertical="center"/>
    </xf>
    <xf numFmtId="166" fontId="14" fillId="5" borderId="38" xfId="4" applyNumberFormat="1" applyFont="1" applyFill="1" applyBorder="1" applyAlignment="1">
      <alignment horizontal="center" vertical="center"/>
    </xf>
    <xf numFmtId="166" fontId="14" fillId="5" borderId="39" xfId="4" applyNumberFormat="1" applyFont="1" applyFill="1" applyBorder="1" applyAlignment="1">
      <alignment horizontal="center" vertical="center"/>
    </xf>
    <xf numFmtId="166" fontId="13" fillId="2" borderId="40" xfId="4" applyNumberFormat="1" applyFont="1" applyFill="1" applyBorder="1" applyAlignment="1" applyProtection="1">
      <alignment horizontal="center" vertical="center"/>
      <protection locked="0"/>
    </xf>
    <xf numFmtId="169" fontId="14" fillId="2" borderId="36" xfId="4" applyNumberFormat="1" applyFont="1" applyFill="1" applyBorder="1" applyAlignment="1" applyProtection="1">
      <alignment horizontal="center" vertical="center"/>
      <protection locked="0"/>
    </xf>
    <xf numFmtId="169" fontId="14" fillId="2" borderId="10" xfId="4" applyNumberFormat="1" applyFont="1" applyFill="1" applyBorder="1" applyAlignment="1">
      <alignment horizontal="left" vertical="center"/>
    </xf>
    <xf numFmtId="169" fontId="14" fillId="2" borderId="41" xfId="4" applyNumberFormat="1" applyFont="1" applyFill="1" applyBorder="1" applyAlignment="1">
      <alignment horizontal="center" vertical="center"/>
    </xf>
    <xf numFmtId="166" fontId="14" fillId="5" borderId="42" xfId="4" applyNumberFormat="1" applyFont="1" applyFill="1" applyBorder="1" applyAlignment="1">
      <alignment horizontal="center" vertical="center"/>
    </xf>
    <xf numFmtId="166" fontId="14" fillId="5" borderId="35" xfId="4" applyNumberFormat="1" applyFont="1" applyFill="1" applyBorder="1" applyAlignment="1">
      <alignment horizontal="center" vertical="center"/>
    </xf>
    <xf numFmtId="166" fontId="14" fillId="5" borderId="43" xfId="4" applyNumberFormat="1" applyFont="1" applyFill="1" applyBorder="1" applyAlignment="1">
      <alignment horizontal="center" vertical="center"/>
    </xf>
    <xf numFmtId="166" fontId="13" fillId="2" borderId="22" xfId="4" applyNumberFormat="1" applyFont="1" applyFill="1" applyBorder="1" applyAlignment="1" applyProtection="1">
      <alignment horizontal="center" vertical="center"/>
      <protection locked="0"/>
    </xf>
    <xf numFmtId="169" fontId="14" fillId="2" borderId="35" xfId="4" applyNumberFormat="1" applyFont="1" applyFill="1" applyBorder="1" applyAlignment="1">
      <alignment horizontal="left" vertical="center"/>
    </xf>
    <xf numFmtId="169" fontId="14" fillId="2" borderId="46" xfId="4" applyNumberFormat="1" applyFont="1" applyFill="1" applyBorder="1" applyAlignment="1">
      <alignment horizontal="center" vertical="center"/>
    </xf>
    <xf numFmtId="166" fontId="14" fillId="2" borderId="37" xfId="4" applyNumberFormat="1" applyFont="1" applyFill="1" applyBorder="1" applyAlignment="1" applyProtection="1">
      <alignment horizontal="center" vertical="center"/>
      <protection hidden="1"/>
    </xf>
    <xf numFmtId="166" fontId="14" fillId="2" borderId="47" xfId="4" applyNumberFormat="1" applyFont="1" applyFill="1" applyBorder="1" applyAlignment="1" applyProtection="1">
      <alignment horizontal="center" vertical="center"/>
      <protection hidden="1"/>
    </xf>
    <xf numFmtId="166" fontId="14" fillId="2" borderId="48" xfId="4" applyNumberFormat="1" applyFont="1" applyFill="1" applyBorder="1" applyAlignment="1" applyProtection="1">
      <alignment horizontal="center" vertical="center"/>
      <protection hidden="1"/>
    </xf>
    <xf numFmtId="166" fontId="14" fillId="2" borderId="10" xfId="4" applyNumberFormat="1" applyFont="1" applyFill="1" applyBorder="1" applyAlignment="1">
      <alignment horizontal="left" vertical="center"/>
    </xf>
    <xf numFmtId="170" fontId="14" fillId="2" borderId="46" xfId="4" applyNumberFormat="1" applyFont="1" applyFill="1" applyBorder="1" applyAlignment="1">
      <alignment horizontal="center" vertical="center"/>
    </xf>
    <xf numFmtId="167" fontId="14" fillId="2" borderId="42" xfId="4" applyNumberFormat="1" applyFont="1" applyFill="1" applyBorder="1" applyAlignment="1" applyProtection="1">
      <alignment horizontal="center" vertical="center"/>
      <protection hidden="1"/>
    </xf>
    <xf numFmtId="169" fontId="14" fillId="2" borderId="37" xfId="4" applyNumberFormat="1" applyFont="1" applyFill="1" applyBorder="1" applyAlignment="1" applyProtection="1">
      <alignment horizontal="center" vertical="center"/>
      <protection hidden="1"/>
    </xf>
    <xf numFmtId="169" fontId="14" fillId="2" borderId="47" xfId="4" applyNumberFormat="1" applyFont="1" applyFill="1" applyBorder="1" applyAlignment="1" applyProtection="1">
      <alignment horizontal="center" vertical="center"/>
      <protection hidden="1"/>
    </xf>
    <xf numFmtId="169" fontId="14" fillId="2" borderId="39" xfId="4" applyNumberFormat="1" applyFont="1" applyFill="1" applyBorder="1" applyAlignment="1" applyProtection="1">
      <alignment horizontal="center" vertical="center"/>
      <protection hidden="1"/>
    </xf>
    <xf numFmtId="169" fontId="13" fillId="2" borderId="40" xfId="4" applyNumberFormat="1" applyFont="1" applyFill="1" applyBorder="1" applyAlignment="1" applyProtection="1">
      <alignment horizontal="center" vertical="center"/>
      <protection locked="0"/>
    </xf>
    <xf numFmtId="166" fontId="14" fillId="2" borderId="49" xfId="4" applyNumberFormat="1" applyFont="1" applyFill="1" applyBorder="1" applyAlignment="1">
      <alignment horizontal="left" vertical="center"/>
    </xf>
    <xf numFmtId="166" fontId="14" fillId="2" borderId="50" xfId="4" applyNumberFormat="1" applyFont="1" applyFill="1" applyBorder="1" applyAlignment="1">
      <alignment horizontal="center" vertical="center"/>
    </xf>
    <xf numFmtId="169" fontId="14" fillId="2" borderId="51" xfId="4" applyNumberFormat="1" applyFont="1" applyFill="1" applyBorder="1" applyAlignment="1" applyProtection="1">
      <alignment horizontal="center" vertical="center"/>
      <protection hidden="1"/>
    </xf>
    <xf numFmtId="0" fontId="13" fillId="2" borderId="36" xfId="4" applyFont="1" applyFill="1" applyBorder="1" applyAlignment="1" applyProtection="1">
      <alignment horizontal="center" vertical="center"/>
      <protection locked="0"/>
    </xf>
    <xf numFmtId="169" fontId="13" fillId="2" borderId="22" xfId="4" applyNumberFormat="1" applyFont="1" applyFill="1" applyBorder="1" applyAlignment="1" applyProtection="1">
      <alignment horizontal="center" vertical="center"/>
      <protection locked="0"/>
    </xf>
    <xf numFmtId="169" fontId="14" fillId="2" borderId="37" xfId="4" applyNumberFormat="1" applyFont="1" applyFill="1" applyBorder="1" applyAlignment="1" applyProtection="1">
      <alignment horizontal="center" vertical="center"/>
      <protection locked="0"/>
    </xf>
    <xf numFmtId="166" fontId="14" fillId="2" borderId="37" xfId="2" applyNumberFormat="1" applyFont="1" applyFill="1" applyBorder="1" applyAlignment="1" applyProtection="1">
      <alignment horizontal="center" vertical="center"/>
      <protection hidden="1"/>
    </xf>
    <xf numFmtId="166" fontId="14" fillId="2" borderId="38" xfId="2" applyNumberFormat="1" applyFont="1" applyFill="1" applyBorder="1" applyAlignment="1" applyProtection="1">
      <alignment horizontal="center" vertical="center"/>
      <protection hidden="1"/>
    </xf>
    <xf numFmtId="166" fontId="14" fillId="2" borderId="39" xfId="2" applyNumberFormat="1" applyFont="1" applyFill="1" applyBorder="1" applyAlignment="1" applyProtection="1">
      <alignment horizontal="center" vertical="center"/>
      <protection hidden="1"/>
    </xf>
    <xf numFmtId="166" fontId="13" fillId="2" borderId="52" xfId="4" applyNumberFormat="1" applyFont="1" applyFill="1" applyBorder="1" applyAlignment="1" applyProtection="1">
      <alignment horizontal="center" vertical="center"/>
      <protection locked="0"/>
    </xf>
    <xf numFmtId="166" fontId="14" fillId="2" borderId="35" xfId="4" applyNumberFormat="1" applyFont="1" applyFill="1" applyBorder="1" applyAlignment="1">
      <alignment horizontal="center" vertical="center"/>
    </xf>
    <xf numFmtId="166" fontId="14" fillId="2" borderId="39" xfId="4" applyNumberFormat="1" applyFont="1" applyFill="1" applyBorder="1" applyAlignment="1">
      <alignment horizontal="center" vertical="center"/>
    </xf>
    <xf numFmtId="166" fontId="14" fillId="2" borderId="35" xfId="4" applyNumberFormat="1" applyFont="1" applyFill="1" applyBorder="1" applyAlignment="1">
      <alignment horizontal="left" vertical="center"/>
    </xf>
    <xf numFmtId="166" fontId="14" fillId="2" borderId="38" xfId="4" applyNumberFormat="1" applyFont="1" applyFill="1" applyBorder="1" applyAlignment="1">
      <alignment horizontal="left" vertical="center"/>
    </xf>
    <xf numFmtId="166" fontId="14" fillId="5" borderId="53" xfId="4" applyNumberFormat="1" applyFont="1" applyFill="1" applyBorder="1" applyAlignment="1">
      <alignment horizontal="center" vertical="center"/>
    </xf>
    <xf numFmtId="166" fontId="14" fillId="2" borderId="47" xfId="2" applyNumberFormat="1" applyFont="1" applyFill="1" applyBorder="1" applyAlignment="1" applyProtection="1">
      <alignment horizontal="center" vertical="center"/>
      <protection hidden="1"/>
    </xf>
    <xf numFmtId="166" fontId="14" fillId="2" borderId="48" xfId="2" applyNumberFormat="1" applyFont="1" applyFill="1" applyBorder="1" applyAlignment="1" applyProtection="1">
      <alignment horizontal="center" vertical="center"/>
      <protection hidden="1"/>
    </xf>
    <xf numFmtId="0" fontId="14" fillId="2" borderId="44" xfId="4" applyFont="1" applyFill="1" applyBorder="1" applyAlignment="1" applyProtection="1">
      <alignment horizontal="left" vertical="center"/>
      <protection locked="0"/>
    </xf>
    <xf numFmtId="0" fontId="14" fillId="2" borderId="54" xfId="4" applyFont="1" applyFill="1" applyBorder="1" applyAlignment="1" applyProtection="1">
      <alignment horizontal="left" vertical="center"/>
      <protection locked="0"/>
    </xf>
    <xf numFmtId="2" fontId="14" fillId="2" borderId="39" xfId="4" applyNumberFormat="1" applyFont="1" applyFill="1" applyBorder="1" applyAlignment="1" applyProtection="1">
      <alignment horizontal="center" vertical="center"/>
      <protection hidden="1"/>
    </xf>
    <xf numFmtId="168" fontId="14" fillId="2" borderId="49" xfId="2" applyNumberFormat="1" applyFont="1" applyFill="1" applyBorder="1" applyAlignment="1" applyProtection="1">
      <alignment horizontal="left" vertical="center"/>
      <protection locked="0"/>
    </xf>
    <xf numFmtId="168" fontId="14" fillId="2" borderId="45" xfId="2" applyNumberFormat="1" applyFont="1" applyFill="1" applyBorder="1" applyAlignment="1" applyProtection="1">
      <alignment horizontal="center" vertical="center"/>
      <protection locked="0"/>
    </xf>
    <xf numFmtId="166" fontId="14" fillId="2" borderId="55" xfId="2" applyNumberFormat="1" applyFont="1" applyFill="1" applyBorder="1" applyAlignment="1" applyProtection="1">
      <alignment horizontal="center" vertical="center"/>
      <protection hidden="1"/>
    </xf>
    <xf numFmtId="166" fontId="14" fillId="2" borderId="56" xfId="2" applyNumberFormat="1" applyFont="1" applyFill="1" applyBorder="1" applyAlignment="1" applyProtection="1">
      <alignment horizontal="center" vertical="center"/>
      <protection hidden="1"/>
    </xf>
    <xf numFmtId="166" fontId="14" fillId="2" borderId="51" xfId="2" applyNumberFormat="1" applyFont="1" applyFill="1" applyBorder="1" applyAlignment="1" applyProtection="1">
      <alignment horizontal="center" vertical="center"/>
      <protection hidden="1"/>
    </xf>
    <xf numFmtId="166" fontId="13" fillId="2" borderId="57" xfId="4" applyNumberFormat="1" applyFont="1" applyFill="1" applyBorder="1" applyAlignment="1" applyProtection="1">
      <alignment horizontal="center" vertical="center"/>
      <protection locked="0"/>
    </xf>
    <xf numFmtId="166" fontId="14" fillId="2" borderId="55" xfId="4" applyNumberFormat="1" applyFont="1" applyFill="1" applyBorder="1" applyAlignment="1">
      <alignment horizontal="center" vertical="center"/>
    </xf>
    <xf numFmtId="166" fontId="14" fillId="2" borderId="51" xfId="4" applyNumberFormat="1" applyFont="1" applyFill="1" applyBorder="1" applyAlignment="1" applyProtection="1">
      <alignment horizontal="center" vertical="center"/>
      <protection locked="0"/>
    </xf>
    <xf numFmtId="173" fontId="14" fillId="2" borderId="35" xfId="1" applyNumberFormat="1" applyFont="1" applyFill="1" applyBorder="1" applyAlignment="1" applyProtection="1">
      <alignment horizontal="left" vertical="center"/>
      <protection locked="0"/>
    </xf>
    <xf numFmtId="173" fontId="14" fillId="2" borderId="59" xfId="1" applyNumberFormat="1" applyFont="1" applyFill="1" applyBorder="1" applyAlignment="1" applyProtection="1">
      <alignment horizontal="center" vertical="center"/>
      <protection locked="0"/>
    </xf>
    <xf numFmtId="4" fontId="14" fillId="5" borderId="37" xfId="1" applyNumberFormat="1" applyFont="1" applyFill="1" applyBorder="1" applyAlignment="1" applyProtection="1">
      <alignment horizontal="center" vertical="center"/>
    </xf>
    <xf numFmtId="4" fontId="14" fillId="5" borderId="60" xfId="1" applyNumberFormat="1" applyFont="1" applyFill="1" applyBorder="1" applyAlignment="1" applyProtection="1">
      <alignment horizontal="center" vertical="center"/>
    </xf>
    <xf numFmtId="4" fontId="14" fillId="5" borderId="31" xfId="1" applyNumberFormat="1" applyFont="1" applyFill="1" applyBorder="1" applyAlignment="1" applyProtection="1">
      <alignment horizontal="center" vertical="center"/>
    </xf>
    <xf numFmtId="1" fontId="13" fillId="2" borderId="40" xfId="2" applyNumberFormat="1" applyFont="1" applyFill="1" applyBorder="1" applyAlignment="1">
      <alignment horizontal="center" vertical="center"/>
    </xf>
    <xf numFmtId="169" fontId="14" fillId="0" borderId="10" xfId="4" applyNumberFormat="1" applyFont="1" applyBorder="1" applyAlignment="1" applyProtection="1">
      <alignment vertical="center"/>
      <protection locked="0"/>
    </xf>
    <xf numFmtId="169" fontId="14" fillId="0" borderId="0" xfId="4" applyNumberFormat="1" applyFont="1" applyAlignment="1" applyProtection="1">
      <alignment vertical="center"/>
      <protection locked="0"/>
    </xf>
    <xf numFmtId="169" fontId="14" fillId="0" borderId="11" xfId="4" applyNumberFormat="1" applyFont="1" applyBorder="1" applyAlignment="1" applyProtection="1">
      <alignment vertical="center"/>
      <protection locked="0"/>
    </xf>
    <xf numFmtId="173" fontId="14" fillId="2" borderId="44" xfId="1" applyNumberFormat="1" applyFont="1" applyFill="1" applyBorder="1" applyAlignment="1" applyProtection="1">
      <alignment horizontal="left" vertical="center"/>
      <protection locked="0"/>
    </xf>
    <xf numFmtId="173" fontId="14" fillId="2" borderId="45" xfId="1" applyNumberFormat="1" applyFont="1" applyFill="1" applyBorder="1" applyAlignment="1" applyProtection="1">
      <alignment horizontal="center" vertical="center"/>
      <protection locked="0"/>
    </xf>
    <xf numFmtId="1" fontId="13" fillId="2" borderId="52" xfId="2" applyNumberFormat="1" applyFont="1" applyFill="1" applyBorder="1" applyAlignment="1">
      <alignment horizontal="center" vertical="center"/>
    </xf>
    <xf numFmtId="2" fontId="13" fillId="0" borderId="11" xfId="4" applyNumberFormat="1" applyFont="1" applyBorder="1" applyAlignment="1" applyProtection="1">
      <alignment horizontal="center" vertical="center"/>
      <protection locked="0"/>
    </xf>
    <xf numFmtId="3" fontId="14" fillId="5" borderId="33" xfId="1" applyNumberFormat="1" applyFont="1" applyFill="1" applyBorder="1" applyAlignment="1" applyProtection="1">
      <alignment horizontal="center" vertical="center"/>
    </xf>
    <xf numFmtId="3" fontId="14" fillId="5" borderId="60" xfId="1" applyNumberFormat="1" applyFont="1" applyFill="1" applyBorder="1" applyAlignment="1" applyProtection="1">
      <alignment horizontal="center" vertical="center"/>
    </xf>
    <xf numFmtId="3" fontId="14" fillId="5" borderId="53" xfId="1" applyNumberFormat="1" applyFont="1" applyFill="1" applyBorder="1" applyAlignment="1" applyProtection="1">
      <alignment horizontal="center" vertical="center"/>
    </xf>
    <xf numFmtId="1" fontId="13" fillId="2" borderId="18" xfId="2" applyNumberFormat="1" applyFont="1" applyFill="1" applyBorder="1" applyAlignment="1">
      <alignment horizontal="center" vertical="center"/>
    </xf>
    <xf numFmtId="169" fontId="14" fillId="0" borderId="5" xfId="4" applyNumberFormat="1" applyFont="1" applyBorder="1" applyAlignment="1" applyProtection="1">
      <alignment vertical="center"/>
      <protection locked="0"/>
    </xf>
    <xf numFmtId="169" fontId="14" fillId="0" borderId="6" xfId="4" applyNumberFormat="1" applyFont="1" applyBorder="1" applyAlignment="1" applyProtection="1">
      <alignment vertical="center"/>
      <protection locked="0"/>
    </xf>
    <xf numFmtId="2" fontId="13" fillId="0" borderId="7" xfId="4" applyNumberFormat="1" applyFont="1" applyBorder="1" applyAlignment="1" applyProtection="1">
      <alignment horizontal="center" vertical="center"/>
      <protection locked="0"/>
    </xf>
    <xf numFmtId="173" fontId="14" fillId="2" borderId="49" xfId="1" applyNumberFormat="1" applyFont="1" applyFill="1" applyBorder="1" applyAlignment="1" applyProtection="1">
      <alignment horizontal="left" vertical="center"/>
      <protection locked="0"/>
    </xf>
    <xf numFmtId="173" fontId="14" fillId="2" borderId="61" xfId="1" applyNumberFormat="1" applyFont="1" applyFill="1" applyBorder="1" applyAlignment="1" applyProtection="1">
      <alignment horizontal="left" vertical="center"/>
      <protection locked="0"/>
    </xf>
    <xf numFmtId="4" fontId="14" fillId="0" borderId="23" xfId="1" applyNumberFormat="1" applyFont="1" applyFill="1" applyBorder="1" applyAlignment="1" applyProtection="1">
      <alignment horizontal="center" vertical="center"/>
      <protection hidden="1"/>
    </xf>
    <xf numFmtId="4" fontId="14" fillId="0" borderId="24" xfId="1" applyNumberFormat="1" applyFont="1" applyFill="1" applyBorder="1" applyAlignment="1" applyProtection="1">
      <alignment horizontal="center" vertical="center"/>
      <protection hidden="1"/>
    </xf>
    <xf numFmtId="4" fontId="14" fillId="0" borderId="13" xfId="1" applyNumberFormat="1" applyFont="1" applyFill="1" applyBorder="1" applyAlignment="1" applyProtection="1">
      <alignment horizontal="center" vertical="center"/>
      <protection hidden="1"/>
    </xf>
    <xf numFmtId="2" fontId="13" fillId="2" borderId="57" xfId="2" applyNumberFormat="1" applyFont="1" applyFill="1" applyBorder="1" applyAlignment="1">
      <alignment horizontal="center" vertical="center"/>
    </xf>
    <xf numFmtId="2" fontId="14" fillId="2" borderId="23" xfId="4" applyNumberFormat="1" applyFont="1" applyFill="1" applyBorder="1" applyAlignment="1">
      <alignment horizontal="center" vertical="center"/>
    </xf>
    <xf numFmtId="0" fontId="13" fillId="2" borderId="51" xfId="4" applyFont="1" applyFill="1" applyBorder="1" applyAlignment="1" applyProtection="1">
      <alignment horizontal="center" vertical="center"/>
      <protection locked="0"/>
    </xf>
    <xf numFmtId="3" fontId="14" fillId="0" borderId="10" xfId="4" applyNumberFormat="1" applyFont="1" applyBorder="1" applyAlignment="1" applyProtection="1">
      <alignment vertical="center"/>
      <protection locked="0"/>
    </xf>
    <xf numFmtId="3" fontId="14" fillId="0" borderId="0" xfId="4" applyNumberFormat="1" applyFont="1" applyAlignment="1" applyProtection="1">
      <alignment vertical="center"/>
      <protection locked="0"/>
    </xf>
    <xf numFmtId="3" fontId="14" fillId="0" borderId="11" xfId="4" applyNumberFormat="1" applyFont="1" applyBorder="1" applyAlignment="1" applyProtection="1">
      <alignment vertical="center"/>
      <protection locked="0"/>
    </xf>
    <xf numFmtId="3" fontId="14" fillId="5" borderId="28" xfId="1" applyNumberFormat="1" applyFont="1" applyFill="1" applyBorder="1" applyAlignment="1" applyProtection="1">
      <alignment horizontal="center" vertical="center"/>
    </xf>
    <xf numFmtId="1" fontId="13" fillId="0" borderId="40" xfId="2" applyNumberFormat="1" applyFont="1" applyFill="1" applyBorder="1" applyAlignment="1">
      <alignment horizontal="center" vertical="center"/>
    </xf>
    <xf numFmtId="169" fontId="14" fillId="0" borderId="10" xfId="4" applyNumberFormat="1" applyFont="1" applyBorder="1" applyAlignment="1" applyProtection="1">
      <alignment vertical="center" wrapText="1"/>
      <protection locked="0"/>
    </xf>
    <xf numFmtId="169" fontId="14" fillId="0" borderId="0" xfId="4" applyNumberFormat="1" applyFont="1" applyAlignment="1" applyProtection="1">
      <alignment vertical="center" wrapText="1"/>
      <protection locked="0"/>
    </xf>
    <xf numFmtId="169" fontId="14" fillId="0" borderId="11" xfId="4" applyNumberFormat="1" applyFont="1" applyBorder="1" applyAlignment="1" applyProtection="1">
      <alignment vertical="center" wrapText="1"/>
      <protection locked="0"/>
    </xf>
    <xf numFmtId="3" fontId="14" fillId="0" borderId="55" xfId="1" applyNumberFormat="1" applyFont="1" applyFill="1" applyBorder="1" applyAlignment="1" applyProtection="1">
      <alignment horizontal="center" vertical="center"/>
      <protection hidden="1"/>
    </xf>
    <xf numFmtId="3" fontId="14" fillId="0" borderId="62" xfId="1" applyNumberFormat="1" applyFont="1" applyFill="1" applyBorder="1" applyAlignment="1" applyProtection="1">
      <alignment horizontal="center" vertical="center"/>
      <protection hidden="1"/>
    </xf>
    <xf numFmtId="3" fontId="14" fillId="0" borderId="51" xfId="1" applyNumberFormat="1" applyFont="1" applyFill="1" applyBorder="1" applyAlignment="1" applyProtection="1">
      <alignment horizontal="center" vertical="center"/>
      <protection hidden="1"/>
    </xf>
    <xf numFmtId="175" fontId="13" fillId="0" borderId="26" xfId="2" applyNumberFormat="1" applyFont="1" applyFill="1" applyBorder="1" applyAlignment="1">
      <alignment horizontal="center" vertical="center"/>
    </xf>
    <xf numFmtId="166" fontId="14" fillId="0" borderId="55" xfId="4" applyNumberFormat="1" applyFont="1" applyBorder="1" applyAlignment="1">
      <alignment horizontal="center" vertical="center"/>
    </xf>
    <xf numFmtId="0" fontId="13" fillId="0" borderId="25" xfId="4" applyFont="1" applyBorder="1" applyAlignment="1" applyProtection="1">
      <alignment horizontal="center" vertical="center"/>
      <protection locked="0"/>
    </xf>
    <xf numFmtId="173" fontId="14" fillId="5" borderId="35" xfId="1" applyNumberFormat="1" applyFont="1" applyFill="1" applyBorder="1" applyAlignment="1" applyProtection="1">
      <alignment horizontal="center" vertical="center"/>
    </xf>
    <xf numFmtId="173" fontId="14" fillId="5" borderId="63" xfId="1" applyNumberFormat="1" applyFont="1" applyFill="1" applyBorder="1" applyAlignment="1" applyProtection="1">
      <alignment horizontal="center" vertical="center"/>
    </xf>
    <xf numFmtId="173" fontId="14" fillId="5" borderId="53" xfId="1" applyNumberFormat="1" applyFont="1" applyFill="1" applyBorder="1" applyAlignment="1" applyProtection="1">
      <alignment horizontal="center" vertical="center"/>
    </xf>
    <xf numFmtId="173" fontId="14" fillId="2" borderId="45" xfId="1" applyNumberFormat="1" applyFont="1" applyFill="1" applyBorder="1" applyAlignment="1" applyProtection="1">
      <alignment horizontal="left" vertical="center"/>
      <protection locked="0"/>
    </xf>
    <xf numFmtId="173" fontId="14" fillId="5" borderId="64" xfId="1" applyNumberFormat="1" applyFont="1" applyFill="1" applyBorder="1" applyAlignment="1" applyProtection="1">
      <alignment horizontal="center" vertical="center"/>
      <protection hidden="1"/>
    </xf>
    <xf numFmtId="173" fontId="14" fillId="5" borderId="56" xfId="1" applyNumberFormat="1" applyFont="1" applyFill="1" applyBorder="1" applyAlignment="1" applyProtection="1">
      <alignment horizontal="center" vertical="center"/>
      <protection hidden="1"/>
    </xf>
    <xf numFmtId="173" fontId="14" fillId="5" borderId="39" xfId="1" applyNumberFormat="1" applyFont="1" applyFill="1" applyBorder="1" applyAlignment="1" applyProtection="1">
      <alignment horizontal="center" vertical="center"/>
      <protection hidden="1"/>
    </xf>
    <xf numFmtId="2" fontId="13" fillId="0" borderId="22" xfId="2" applyNumberFormat="1" applyFont="1" applyFill="1" applyBorder="1" applyAlignment="1">
      <alignment horizontal="center" vertical="center"/>
    </xf>
    <xf numFmtId="173" fontId="14" fillId="2" borderId="12" xfId="1" applyNumberFormat="1" applyFont="1" applyFill="1" applyBorder="1" applyAlignment="1" applyProtection="1">
      <alignment horizontal="left" vertical="center"/>
      <protection locked="0"/>
    </xf>
    <xf numFmtId="173" fontId="14" fillId="0" borderId="55" xfId="1" applyNumberFormat="1" applyFont="1" applyFill="1" applyBorder="1" applyAlignment="1" applyProtection="1">
      <alignment horizontal="center" vertical="center"/>
      <protection hidden="1"/>
    </xf>
    <xf numFmtId="173" fontId="14" fillId="0" borderId="62" xfId="1" applyNumberFormat="1" applyFont="1" applyFill="1" applyBorder="1" applyAlignment="1" applyProtection="1">
      <alignment horizontal="center" vertical="center"/>
      <protection hidden="1"/>
    </xf>
    <xf numFmtId="173" fontId="14" fillId="0" borderId="25" xfId="1" applyNumberFormat="1" applyFont="1" applyFill="1" applyBorder="1" applyAlignment="1" applyProtection="1">
      <alignment horizontal="center" vertical="center"/>
      <protection hidden="1"/>
    </xf>
    <xf numFmtId="166" fontId="13" fillId="0" borderId="57" xfId="2" applyNumberFormat="1" applyFont="1" applyFill="1" applyBorder="1" applyAlignment="1">
      <alignment horizontal="center" vertical="center"/>
    </xf>
    <xf numFmtId="166" fontId="14" fillId="0" borderId="51" xfId="4" applyNumberFormat="1" applyFont="1" applyBorder="1" applyAlignment="1" applyProtection="1">
      <alignment horizontal="center" vertical="center"/>
      <protection locked="0"/>
    </xf>
    <xf numFmtId="0" fontId="16" fillId="2" borderId="8" xfId="3" applyFont="1" applyFill="1" applyBorder="1" applyAlignment="1">
      <alignment vertical="center" wrapText="1"/>
    </xf>
    <xf numFmtId="0" fontId="13" fillId="4" borderId="8" xfId="3" applyFont="1" applyFill="1" applyBorder="1" applyAlignment="1">
      <alignment horizontal="center"/>
    </xf>
    <xf numFmtId="0" fontId="14" fillId="2" borderId="8" xfId="3" applyFont="1" applyFill="1" applyBorder="1" applyAlignment="1">
      <alignment horizontal="center" vertical="center"/>
    </xf>
    <xf numFmtId="4" fontId="14" fillId="2" borderId="5" xfId="1" applyNumberFormat="1" applyFont="1" applyFill="1" applyBorder="1" applyAlignment="1" applyProtection="1">
      <alignment horizontal="left" vertical="center"/>
      <protection locked="0"/>
    </xf>
    <xf numFmtId="4" fontId="14" fillId="2" borderId="59" xfId="1" applyNumberFormat="1" applyFont="1" applyFill="1" applyBorder="1" applyAlignment="1" applyProtection="1">
      <alignment horizontal="center" vertical="center"/>
      <protection locked="0"/>
    </xf>
    <xf numFmtId="0" fontId="18" fillId="0" borderId="0" xfId="3" applyFont="1" applyAlignment="1">
      <alignment horizontal="center"/>
    </xf>
    <xf numFmtId="0" fontId="18" fillId="0" borderId="0" xfId="3" applyFont="1"/>
    <xf numFmtId="0" fontId="5" fillId="0" borderId="0" xfId="3" applyFont="1" applyAlignment="1">
      <alignment horizontal="center" vertical="center"/>
    </xf>
    <xf numFmtId="2" fontId="5" fillId="2" borderId="0" xfId="4" applyNumberFormat="1" applyFill="1" applyAlignment="1" applyProtection="1">
      <alignment horizontal="center" vertical="center"/>
      <protection locked="0"/>
    </xf>
    <xf numFmtId="2" fontId="5" fillId="0" borderId="0" xfId="3" applyNumberFormat="1" applyFont="1" applyAlignment="1">
      <alignment horizontal="center" vertical="center"/>
    </xf>
    <xf numFmtId="2" fontId="5" fillId="0" borderId="0" xfId="3" applyNumberFormat="1" applyFont="1" applyAlignment="1">
      <alignment vertical="center"/>
    </xf>
    <xf numFmtId="0" fontId="19" fillId="0" borderId="0" xfId="3" applyFont="1" applyAlignment="1">
      <alignment horizontal="center" vertical="center"/>
    </xf>
    <xf numFmtId="0" fontId="6" fillId="0" borderId="0" xfId="3" applyFont="1" applyAlignment="1">
      <alignment horizontal="center" vertical="center" wrapText="1"/>
    </xf>
    <xf numFmtId="167" fontId="5" fillId="0" borderId="0" xfId="3" applyNumberFormat="1" applyFont="1"/>
    <xf numFmtId="169" fontId="5" fillId="0" borderId="0" xfId="3" applyNumberFormat="1" applyFont="1"/>
    <xf numFmtId="0" fontId="11" fillId="0" borderId="0" xfId="3" applyFont="1" applyAlignment="1">
      <alignment wrapText="1"/>
    </xf>
    <xf numFmtId="0" fontId="2" fillId="0" borderId="0" xfId="3" applyFont="1" applyAlignment="1">
      <alignment wrapText="1"/>
    </xf>
    <xf numFmtId="0" fontId="0" fillId="7" borderId="0" xfId="0" applyFill="1"/>
    <xf numFmtId="0" fontId="8" fillId="0" borderId="16" xfId="3" applyFont="1" applyBorder="1" applyAlignment="1">
      <alignment horizontal="center" vertical="top"/>
    </xf>
    <xf numFmtId="166" fontId="14" fillId="2" borderId="35" xfId="0" applyNumberFormat="1" applyFont="1" applyFill="1" applyBorder="1" applyAlignment="1" applyProtection="1">
      <alignment horizontal="left" vertical="center" wrapText="1"/>
      <protection locked="0"/>
    </xf>
    <xf numFmtId="166" fontId="14" fillId="2" borderId="36" xfId="0" applyNumberFormat="1" applyFont="1" applyFill="1" applyBorder="1" applyAlignment="1" applyProtection="1">
      <alignment horizontal="left" vertical="center" wrapText="1"/>
      <protection locked="0"/>
    </xf>
    <xf numFmtId="169" fontId="14" fillId="2" borderId="35" xfId="4" applyNumberFormat="1" applyFont="1" applyFill="1" applyBorder="1" applyAlignment="1" applyProtection="1">
      <alignment horizontal="center" vertical="center"/>
      <protection locked="0"/>
    </xf>
    <xf numFmtId="169" fontId="14" fillId="2" borderId="36" xfId="4" applyNumberFormat="1" applyFont="1" applyFill="1" applyBorder="1" applyAlignment="1" applyProtection="1">
      <alignment horizontal="center" vertical="center"/>
      <protection locked="0"/>
    </xf>
    <xf numFmtId="174" fontId="14" fillId="5" borderId="44" xfId="1" applyNumberFormat="1" applyFont="1" applyFill="1" applyBorder="1" applyAlignment="1" applyProtection="1">
      <alignment horizontal="center" vertical="center"/>
    </xf>
    <xf numFmtId="174" fontId="14" fillId="5" borderId="54" xfId="1" applyNumberFormat="1" applyFont="1" applyFill="1" applyBorder="1" applyAlignment="1" applyProtection="1">
      <alignment horizontal="center" vertical="center"/>
    </xf>
    <xf numFmtId="174" fontId="14" fillId="5" borderId="45" xfId="1" applyNumberFormat="1" applyFont="1" applyFill="1" applyBorder="1" applyAlignment="1" applyProtection="1">
      <alignment horizontal="center" vertical="center"/>
    </xf>
    <xf numFmtId="169" fontId="14" fillId="2" borderId="44" xfId="4" applyNumberFormat="1" applyFont="1" applyFill="1" applyBorder="1" applyAlignment="1" applyProtection="1">
      <alignment horizontal="center" vertical="center"/>
      <protection locked="0"/>
    </xf>
    <xf numFmtId="169" fontId="14" fillId="2" borderId="45" xfId="4" applyNumberFormat="1" applyFont="1" applyFill="1" applyBorder="1" applyAlignment="1" applyProtection="1">
      <alignment horizontal="center" vertical="center"/>
      <protection locked="0"/>
    </xf>
    <xf numFmtId="172" fontId="14" fillId="2" borderId="37" xfId="1" applyNumberFormat="1" applyFont="1" applyFill="1" applyBorder="1" applyAlignment="1" applyProtection="1">
      <alignment horizontal="center" vertical="center"/>
      <protection hidden="1"/>
    </xf>
    <xf numFmtId="172" fontId="14" fillId="2" borderId="47" xfId="1" applyNumberFormat="1" applyFont="1" applyFill="1" applyBorder="1" applyAlignment="1" applyProtection="1">
      <alignment horizontal="center" vertical="center"/>
      <protection hidden="1"/>
    </xf>
    <xf numFmtId="172" fontId="14" fillId="2" borderId="39" xfId="1" applyNumberFormat="1" applyFont="1" applyFill="1" applyBorder="1" applyAlignment="1" applyProtection="1">
      <alignment horizontal="center" vertical="center"/>
      <protection hidden="1"/>
    </xf>
    <xf numFmtId="169" fontId="13" fillId="4" borderId="15" xfId="4" applyNumberFormat="1" applyFont="1" applyFill="1" applyBorder="1" applyAlignment="1">
      <alignment horizontal="center" vertical="center"/>
    </xf>
    <xf numFmtId="169" fontId="13" fillId="4" borderId="16" xfId="4" applyNumberFormat="1" applyFont="1" applyFill="1" applyBorder="1" applyAlignment="1">
      <alignment horizontal="center" vertical="center"/>
    </xf>
    <xf numFmtId="169" fontId="13" fillId="4" borderId="17" xfId="4" applyNumberFormat="1" applyFont="1" applyFill="1" applyBorder="1" applyAlignment="1">
      <alignment horizontal="center" vertical="center"/>
    </xf>
    <xf numFmtId="166" fontId="14" fillId="2" borderId="35" xfId="4" applyNumberFormat="1" applyFont="1" applyFill="1" applyBorder="1" applyAlignment="1" applyProtection="1">
      <alignment horizontal="center" vertical="center"/>
      <protection locked="0"/>
    </xf>
    <xf numFmtId="166" fontId="14" fillId="2" borderId="36" xfId="4" applyNumberFormat="1" applyFont="1" applyFill="1" applyBorder="1" applyAlignment="1" applyProtection="1">
      <alignment horizontal="center" vertical="center"/>
      <protection locked="0"/>
    </xf>
    <xf numFmtId="166" fontId="14" fillId="2" borderId="35" xfId="4" applyNumberFormat="1" applyFont="1" applyFill="1" applyBorder="1" applyAlignment="1">
      <alignment horizontal="center" vertical="center"/>
    </xf>
    <xf numFmtId="166" fontId="14" fillId="2" borderId="36" xfId="4" applyNumberFormat="1" applyFont="1" applyFill="1" applyBorder="1" applyAlignment="1">
      <alignment horizontal="center" vertical="center"/>
    </xf>
    <xf numFmtId="169" fontId="14" fillId="0" borderId="15" xfId="4" applyNumberFormat="1" applyFont="1" applyBorder="1" applyAlignment="1" applyProtection="1">
      <alignment horizontal="left" vertical="center"/>
      <protection locked="0"/>
    </xf>
    <xf numFmtId="169" fontId="14" fillId="0" borderId="58" xfId="4" applyNumberFormat="1" applyFont="1" applyBorder="1" applyAlignment="1" applyProtection="1">
      <alignment horizontal="left" vertical="center"/>
      <protection locked="0"/>
    </xf>
    <xf numFmtId="0" fontId="17" fillId="0" borderId="18" xfId="3" applyFont="1" applyBorder="1" applyAlignment="1">
      <alignment horizontal="center" vertical="center" textRotation="90" wrapText="1"/>
    </xf>
    <xf numFmtId="0" fontId="17" fillId="0" borderId="22" xfId="3" applyFont="1" applyBorder="1" applyAlignment="1">
      <alignment horizontal="center" vertical="center" textRotation="90" wrapText="1"/>
    </xf>
    <xf numFmtId="0" fontId="17" fillId="0" borderId="26" xfId="3" applyFont="1" applyBorder="1" applyAlignment="1">
      <alignment horizontal="center" vertical="center" textRotation="90" wrapText="1"/>
    </xf>
    <xf numFmtId="169" fontId="14" fillId="0" borderId="33" xfId="4" applyNumberFormat="1" applyFont="1" applyBorder="1" applyAlignment="1" applyProtection="1">
      <alignment horizontal="center" vertical="center"/>
      <protection locked="0"/>
    </xf>
    <xf numFmtId="169" fontId="14" fillId="0" borderId="59" xfId="4" applyNumberFormat="1" applyFont="1" applyBorder="1" applyAlignment="1" applyProtection="1">
      <alignment horizontal="center" vertical="center"/>
      <protection locked="0"/>
    </xf>
    <xf numFmtId="2" fontId="14" fillId="0" borderId="35" xfId="4" applyNumberFormat="1" applyFont="1" applyBorder="1" applyAlignment="1">
      <alignment horizontal="center" vertical="center"/>
    </xf>
    <xf numFmtId="2" fontId="14" fillId="0" borderId="36" xfId="4" applyNumberFormat="1" applyFont="1" applyBorder="1" applyAlignment="1">
      <alignment horizontal="center" vertical="center"/>
    </xf>
    <xf numFmtId="0" fontId="10" fillId="0" borderId="13" xfId="3" applyFont="1" applyBorder="1" applyAlignment="1">
      <alignment horizontal="center" vertical="center"/>
    </xf>
    <xf numFmtId="169" fontId="14" fillId="2" borderId="33" xfId="4" applyNumberFormat="1" applyFont="1" applyFill="1" applyBorder="1" applyAlignment="1" applyProtection="1">
      <alignment horizontal="center" vertical="center"/>
      <protection locked="0"/>
    </xf>
    <xf numFmtId="169" fontId="14" fillId="2" borderId="59" xfId="4" applyNumberFormat="1" applyFont="1" applyFill="1" applyBorder="1" applyAlignment="1" applyProtection="1">
      <alignment horizontal="center" vertical="center"/>
      <protection locked="0"/>
    </xf>
    <xf numFmtId="0" fontId="17" fillId="0" borderId="18" xfId="3" applyFont="1" applyBorder="1" applyAlignment="1">
      <alignment horizontal="center" vertical="center" textRotation="90"/>
    </xf>
    <xf numFmtId="0" fontId="17" fillId="0" borderId="22" xfId="3" applyFont="1" applyBorder="1" applyAlignment="1">
      <alignment horizontal="center" vertical="center" textRotation="90"/>
    </xf>
    <xf numFmtId="166" fontId="13" fillId="4" borderId="5" xfId="4" applyNumberFormat="1" applyFont="1" applyFill="1" applyBorder="1" applyAlignment="1" applyProtection="1">
      <alignment horizontal="center" vertical="center"/>
      <protection locked="0"/>
    </xf>
    <xf numFmtId="166" fontId="13" fillId="4" borderId="7" xfId="4" applyNumberFormat="1" applyFont="1" applyFill="1" applyBorder="1" applyAlignment="1" applyProtection="1">
      <alignment horizontal="center" vertical="center"/>
      <protection locked="0"/>
    </xf>
    <xf numFmtId="166" fontId="13" fillId="4" borderId="12" xfId="4" applyNumberFormat="1" applyFont="1" applyFill="1" applyBorder="1" applyAlignment="1" applyProtection="1">
      <alignment horizontal="center" vertical="center"/>
      <protection locked="0"/>
    </xf>
    <xf numFmtId="166" fontId="13" fillId="4" borderId="14" xfId="4" applyNumberFormat="1" applyFont="1" applyFill="1" applyBorder="1" applyAlignment="1" applyProtection="1">
      <alignment horizontal="center" vertical="center"/>
      <protection locked="0"/>
    </xf>
    <xf numFmtId="1" fontId="13" fillId="4" borderId="19" xfId="4" applyNumberFormat="1" applyFont="1" applyFill="1" applyBorder="1" applyAlignment="1" applyProtection="1">
      <alignment horizontal="center" vertical="center"/>
      <protection locked="0"/>
    </xf>
    <xf numFmtId="1" fontId="13" fillId="4" borderId="23" xfId="4" applyNumberFormat="1" applyFont="1" applyFill="1" applyBorder="1" applyAlignment="1" applyProtection="1">
      <alignment horizontal="center" vertical="center"/>
      <protection locked="0"/>
    </xf>
    <xf numFmtId="1" fontId="13" fillId="4" borderId="20" xfId="4" applyNumberFormat="1" applyFont="1" applyFill="1" applyBorder="1" applyAlignment="1" applyProtection="1">
      <alignment horizontal="center" vertical="center"/>
      <protection locked="0"/>
    </xf>
    <xf numFmtId="1" fontId="13" fillId="4" borderId="24" xfId="4" applyNumberFormat="1" applyFont="1" applyFill="1" applyBorder="1" applyAlignment="1" applyProtection="1">
      <alignment horizontal="center" vertical="center"/>
      <protection locked="0"/>
    </xf>
    <xf numFmtId="1" fontId="13" fillId="4" borderId="21" xfId="4" applyNumberFormat="1" applyFont="1" applyFill="1" applyBorder="1" applyAlignment="1" applyProtection="1">
      <alignment horizontal="center" vertical="center"/>
      <protection locked="0"/>
    </xf>
    <xf numFmtId="1" fontId="13" fillId="4" borderId="25" xfId="4" applyNumberFormat="1" applyFont="1" applyFill="1" applyBorder="1" applyAlignment="1" applyProtection="1">
      <alignment horizontal="center" vertical="center"/>
      <protection locked="0"/>
    </xf>
    <xf numFmtId="1" fontId="13" fillId="4" borderId="18" xfId="4" applyNumberFormat="1" applyFont="1" applyFill="1" applyBorder="1" applyAlignment="1" applyProtection="1">
      <alignment horizontal="center" vertical="center"/>
      <protection locked="0"/>
    </xf>
    <xf numFmtId="1" fontId="13" fillId="4" borderId="26" xfId="4" applyNumberFormat="1" applyFont="1" applyFill="1" applyBorder="1" applyAlignment="1" applyProtection="1">
      <alignment horizontal="center" vertical="center"/>
      <protection locked="0"/>
    </xf>
    <xf numFmtId="168" fontId="13" fillId="4" borderId="15" xfId="4" applyNumberFormat="1" applyFont="1" applyFill="1" applyBorder="1" applyAlignment="1" applyProtection="1">
      <alignment horizontal="center" vertical="center"/>
      <protection locked="0"/>
    </xf>
    <xf numFmtId="168" fontId="13" fillId="4" borderId="17" xfId="4" applyNumberFormat="1" applyFont="1" applyFill="1" applyBorder="1" applyAlignment="1" applyProtection="1">
      <alignment horizontal="center" vertical="center"/>
      <protection locked="0"/>
    </xf>
    <xf numFmtId="0" fontId="11" fillId="2" borderId="15" xfId="3" applyFont="1" applyFill="1" applyBorder="1" applyAlignment="1">
      <alignment horizontal="left" vertical="center" wrapText="1"/>
    </xf>
    <xf numFmtId="0" fontId="11" fillId="2" borderId="17" xfId="3" applyFont="1" applyFill="1" applyBorder="1" applyAlignment="1">
      <alignment horizontal="left" vertical="center" wrapText="1"/>
    </xf>
    <xf numFmtId="0" fontId="11" fillId="2" borderId="8" xfId="3" applyFont="1" applyFill="1" applyBorder="1" applyAlignment="1">
      <alignment horizontal="left" vertical="center" wrapText="1"/>
    </xf>
    <xf numFmtId="169" fontId="13" fillId="4" borderId="5" xfId="4" applyNumberFormat="1" applyFont="1" applyFill="1" applyBorder="1" applyAlignment="1" applyProtection="1">
      <alignment horizontal="center" vertical="center" wrapText="1"/>
      <protection locked="0"/>
    </xf>
    <xf numFmtId="169" fontId="13" fillId="4" borderId="6" xfId="4" applyNumberFormat="1" applyFont="1" applyFill="1" applyBorder="1" applyAlignment="1" applyProtection="1">
      <alignment horizontal="center" vertical="center" wrapText="1"/>
      <protection locked="0"/>
    </xf>
    <xf numFmtId="169" fontId="13" fillId="4" borderId="7" xfId="4" applyNumberFormat="1" applyFont="1" applyFill="1" applyBorder="1" applyAlignment="1" applyProtection="1">
      <alignment horizontal="center" vertical="center" wrapText="1"/>
      <protection locked="0"/>
    </xf>
    <xf numFmtId="169" fontId="13" fillId="4" borderId="10" xfId="4" applyNumberFormat="1" applyFont="1" applyFill="1" applyBorder="1" applyAlignment="1" applyProtection="1">
      <alignment horizontal="center" vertical="center" wrapText="1"/>
      <protection locked="0"/>
    </xf>
    <xf numFmtId="169" fontId="13" fillId="4" borderId="0" xfId="4" applyNumberFormat="1" applyFont="1" applyFill="1" applyAlignment="1" applyProtection="1">
      <alignment horizontal="center" vertical="center" wrapText="1"/>
      <protection locked="0"/>
    </xf>
    <xf numFmtId="169" fontId="13" fillId="4" borderId="11" xfId="4" applyNumberFormat="1" applyFont="1" applyFill="1" applyBorder="1" applyAlignment="1" applyProtection="1">
      <alignment horizontal="center" vertical="center" wrapText="1"/>
      <protection locked="0"/>
    </xf>
    <xf numFmtId="168" fontId="14" fillId="2" borderId="10" xfId="4" applyNumberFormat="1" applyFont="1" applyFill="1" applyBorder="1" applyAlignment="1" applyProtection="1">
      <alignment horizontal="center" vertical="center"/>
      <protection locked="0"/>
    </xf>
    <xf numFmtId="168" fontId="14" fillId="2" borderId="11" xfId="4" applyNumberFormat="1" applyFont="1" applyFill="1" applyBorder="1" applyAlignment="1" applyProtection="1">
      <alignment horizontal="center" vertical="center"/>
      <protection locked="0"/>
    </xf>
    <xf numFmtId="0" fontId="16" fillId="4" borderId="8" xfId="3" applyFont="1" applyFill="1" applyBorder="1" applyAlignment="1">
      <alignment horizontal="center" vertical="center"/>
    </xf>
    <xf numFmtId="14" fontId="13" fillId="4" borderId="5" xfId="3" applyNumberFormat="1" applyFont="1" applyFill="1" applyBorder="1" applyAlignment="1">
      <alignment horizontal="center" vertical="center"/>
    </xf>
    <xf numFmtId="14" fontId="13" fillId="4" borderId="7" xfId="3" applyNumberFormat="1" applyFont="1" applyFill="1" applyBorder="1" applyAlignment="1">
      <alignment horizontal="center" vertical="center"/>
    </xf>
    <xf numFmtId="166" fontId="13" fillId="2" borderId="8" xfId="5" applyNumberFormat="1" applyFont="1" applyFill="1" applyBorder="1" applyAlignment="1" applyProtection="1">
      <alignment horizontal="center" vertical="center"/>
    </xf>
    <xf numFmtId="0" fontId="16" fillId="4" borderId="8" xfId="3" applyFont="1" applyFill="1" applyBorder="1" applyAlignment="1">
      <alignment horizontal="center" vertical="center" wrapText="1"/>
    </xf>
    <xf numFmtId="0" fontId="16" fillId="4" borderId="5" xfId="3" applyFont="1" applyFill="1" applyBorder="1" applyAlignment="1">
      <alignment horizontal="center" vertical="center" wrapText="1"/>
    </xf>
    <xf numFmtId="0" fontId="16" fillId="4" borderId="7" xfId="3" applyFont="1" applyFill="1" applyBorder="1" applyAlignment="1">
      <alignment horizontal="center" vertical="center" wrapText="1"/>
    </xf>
    <xf numFmtId="14" fontId="13" fillId="4" borderId="12" xfId="3" applyNumberFormat="1" applyFont="1" applyFill="1" applyBorder="1" applyAlignment="1">
      <alignment horizontal="center" vertical="center" wrapText="1"/>
    </xf>
    <xf numFmtId="14" fontId="13" fillId="4" borderId="14" xfId="3" applyNumberFormat="1" applyFont="1" applyFill="1" applyBorder="1" applyAlignment="1">
      <alignment horizontal="center" vertical="center" wrapText="1"/>
    </xf>
    <xf numFmtId="0" fontId="16" fillId="4" borderId="12" xfId="3" applyFont="1" applyFill="1" applyBorder="1" applyAlignment="1">
      <alignment horizontal="center" vertical="center" wrapText="1"/>
    </xf>
    <xf numFmtId="0" fontId="16" fillId="4" borderId="14" xfId="3" applyFont="1" applyFill="1" applyBorder="1" applyAlignment="1">
      <alignment horizontal="center" vertical="center" wrapText="1"/>
    </xf>
    <xf numFmtId="2" fontId="13" fillId="4" borderId="8" xfId="3" applyNumberFormat="1" applyFont="1" applyFill="1" applyBorder="1" applyAlignment="1">
      <alignment horizontal="center"/>
    </xf>
    <xf numFmtId="0" fontId="13" fillId="4" borderId="8" xfId="3" applyFont="1" applyFill="1" applyBorder="1" applyAlignment="1">
      <alignment horizontal="center" wrapText="1"/>
    </xf>
    <xf numFmtId="0" fontId="14" fillId="2" borderId="15" xfId="3" quotePrefix="1" applyFont="1" applyFill="1" applyBorder="1" applyAlignment="1">
      <alignment horizontal="center" vertical="center"/>
    </xf>
    <xf numFmtId="0" fontId="14" fillId="2" borderId="17" xfId="3" quotePrefix="1" applyFont="1" applyFill="1" applyBorder="1" applyAlignment="1">
      <alignment horizontal="center" vertical="center"/>
    </xf>
    <xf numFmtId="0" fontId="14" fillId="2" borderId="8" xfId="3" applyFont="1" applyFill="1" applyBorder="1" applyAlignment="1">
      <alignment horizontal="center" vertical="center" wrapText="1"/>
    </xf>
    <xf numFmtId="0" fontId="15" fillId="2" borderId="15" xfId="3" applyFont="1" applyFill="1" applyBorder="1" applyAlignment="1">
      <alignment horizontal="center" vertical="center"/>
    </xf>
    <xf numFmtId="0" fontId="15" fillId="2" borderId="17" xfId="3" applyFont="1" applyFill="1" applyBorder="1" applyAlignment="1">
      <alignment horizontal="center" vertical="center"/>
    </xf>
    <xf numFmtId="0" fontId="14" fillId="2" borderId="15" xfId="3" applyFont="1" applyFill="1" applyBorder="1" applyAlignment="1">
      <alignment horizontal="center" vertical="center"/>
    </xf>
    <xf numFmtId="0" fontId="14" fillId="2" borderId="16" xfId="3" applyFont="1" applyFill="1" applyBorder="1" applyAlignment="1">
      <alignment horizontal="center" vertical="center"/>
    </xf>
    <xf numFmtId="0" fontId="14" fillId="2" borderId="17" xfId="3" applyFont="1" applyFill="1" applyBorder="1" applyAlignment="1">
      <alignment horizontal="center" vertical="center"/>
    </xf>
    <xf numFmtId="0" fontId="14" fillId="2" borderId="8" xfId="3" applyFont="1" applyFill="1" applyBorder="1" applyAlignment="1">
      <alignment horizontal="center" vertical="center"/>
    </xf>
    <xf numFmtId="165" fontId="14" fillId="2" borderId="8" xfId="3" applyNumberFormat="1" applyFont="1" applyFill="1" applyBorder="1" applyAlignment="1">
      <alignment horizontal="center" vertical="center"/>
    </xf>
    <xf numFmtId="2" fontId="14" fillId="2" borderId="15" xfId="3" applyNumberFormat="1" applyFont="1" applyFill="1" applyBorder="1" applyAlignment="1">
      <alignment horizontal="center" vertical="center"/>
    </xf>
    <xf numFmtId="2" fontId="14" fillId="2" borderId="17" xfId="3" applyNumberFormat="1" applyFont="1" applyFill="1" applyBorder="1" applyAlignment="1">
      <alignment horizontal="center" vertical="center"/>
    </xf>
    <xf numFmtId="0" fontId="13" fillId="4" borderId="8" xfId="3" applyFont="1" applyFill="1" applyBorder="1" applyAlignment="1">
      <alignment horizontal="center"/>
    </xf>
    <xf numFmtId="0" fontId="13" fillId="4" borderId="15" xfId="3" applyFont="1" applyFill="1" applyBorder="1" applyAlignment="1">
      <alignment horizontal="center" wrapText="1"/>
    </xf>
    <xf numFmtId="0" fontId="13" fillId="4" borderId="16" xfId="3" applyFont="1" applyFill="1" applyBorder="1" applyAlignment="1">
      <alignment horizontal="center" wrapText="1"/>
    </xf>
    <xf numFmtId="164" fontId="14" fillId="2" borderId="8" xfId="3" applyNumberFormat="1" applyFont="1" applyFill="1" applyBorder="1" applyAlignment="1">
      <alignment horizontal="center" vertical="center"/>
    </xf>
    <xf numFmtId="0" fontId="12" fillId="2" borderId="8" xfId="3" applyFont="1" applyFill="1" applyBorder="1" applyAlignment="1">
      <alignment horizontal="center" vertical="center" wrapText="1"/>
    </xf>
    <xf numFmtId="0" fontId="12" fillId="2" borderId="6" xfId="3" applyFont="1" applyFill="1" applyBorder="1" applyAlignment="1">
      <alignment horizontal="center" vertical="center" wrapText="1"/>
    </xf>
    <xf numFmtId="0" fontId="12" fillId="2" borderId="7" xfId="3" applyFont="1" applyFill="1" applyBorder="1" applyAlignment="1">
      <alignment horizontal="center" vertical="center" wrapText="1"/>
    </xf>
    <xf numFmtId="0" fontId="12" fillId="2" borderId="0" xfId="3" applyFont="1" applyFill="1" applyAlignment="1">
      <alignment horizontal="center" vertical="center" wrapText="1"/>
    </xf>
    <xf numFmtId="0" fontId="12" fillId="2" borderId="11" xfId="3" applyFont="1" applyFill="1" applyBorder="1" applyAlignment="1">
      <alignment horizontal="center" vertical="center" wrapText="1"/>
    </xf>
    <xf numFmtId="0" fontId="12" fillId="2" borderId="13" xfId="3" applyFont="1" applyFill="1" applyBorder="1" applyAlignment="1">
      <alignment horizontal="center" vertical="center" wrapText="1"/>
    </xf>
    <xf numFmtId="0" fontId="12" fillId="2" borderId="14" xfId="3" applyFont="1" applyFill="1" applyBorder="1" applyAlignment="1">
      <alignment horizontal="center" vertical="center" wrapText="1"/>
    </xf>
    <xf numFmtId="0" fontId="13" fillId="4" borderId="17" xfId="3" applyFont="1" applyFill="1" applyBorder="1" applyAlignment="1">
      <alignment horizontal="center" wrapText="1"/>
    </xf>
    <xf numFmtId="0" fontId="14" fillId="2" borderId="15" xfId="3" applyFont="1" applyFill="1" applyBorder="1" applyAlignment="1">
      <alignment horizontal="center" vertical="center" wrapText="1"/>
    </xf>
    <xf numFmtId="0" fontId="14" fillId="2" borderId="17" xfId="3" applyFont="1" applyFill="1" applyBorder="1" applyAlignment="1">
      <alignment horizontal="center" vertical="center" wrapText="1"/>
    </xf>
    <xf numFmtId="0" fontId="14" fillId="2" borderId="16" xfId="3" applyFont="1" applyFill="1" applyBorder="1" applyAlignment="1">
      <alignment horizontal="center" vertical="center" wrapText="1"/>
    </xf>
  </cellXfs>
  <cellStyles count="6">
    <cellStyle name="Normal" xfId="0" builtinId="0"/>
    <cellStyle name="Normal 4" xfId="3" xr:uid="{A914F589-3677-4FD1-90FF-41374393A545}"/>
    <cellStyle name="Normal 4 2" xfId="4" xr:uid="{E91CF8AC-C880-46E4-961E-2388B3690614}"/>
    <cellStyle name="Porcentagem" xfId="2" builtinId="5"/>
    <cellStyle name="Vírgula" xfId="1" builtinId="3"/>
    <cellStyle name="Vírgula 3" xfId="5" xr:uid="{FA82A81D-CBED-4686-9215-409FA8343986}"/>
  </cellStyles>
  <dxfs count="18"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</dxfs>
  <tableStyles count="0" defaultTableStyle="TableStyleMedium2" defaultPivotStyle="PivotStyleLight16"/>
  <colors>
    <mruColors>
      <color rgb="FF457B9D"/>
      <color rgb="FF1D3557"/>
      <color rgb="FF1F305E"/>
      <color rgb="FF0049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/>
            </a:pPr>
            <a:r>
              <a:rPr lang="pt-BR" sz="1800" b="1"/>
              <a:t>Granulometria da Mistura</a:t>
            </a:r>
          </a:p>
        </c:rich>
      </c:tx>
      <c:layout>
        <c:manualLayout>
          <c:xMode val="edge"/>
          <c:yMode val="edge"/>
          <c:x val="0.35077995077633017"/>
          <c:y val="1.542746842531708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79318905252897"/>
          <c:y val="0.18795823514328028"/>
          <c:w val="0.85507424724714054"/>
          <c:h val="0.6792637232888119"/>
        </c:manualLayout>
      </c:layout>
      <c:scatterChart>
        <c:scatterStyle val="lineMarker"/>
        <c:varyColors val="0"/>
        <c:ser>
          <c:idx val="5"/>
          <c:order val="5"/>
          <c:tx>
            <c:strRef>
              <c:f>Form_001!$C$14</c:f>
              <c:strCache>
                <c:ptCount val="1"/>
                <c:pt idx="0">
                  <c:v>(mm)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Form_001!$E$37:$E$46</c:f>
              <c:numCache>
                <c:formatCode>0.0</c:formatCode>
                <c:ptCount val="10"/>
                <c:pt idx="0">
                  <c:v>25.4</c:v>
                </c:pt>
                <c:pt idx="1">
                  <c:v>19.100000000000001</c:v>
                </c:pt>
                <c:pt idx="2">
                  <c:v>9.5</c:v>
                </c:pt>
                <c:pt idx="3">
                  <c:v>4.75</c:v>
                </c:pt>
                <c:pt idx="4">
                  <c:v>2</c:v>
                </c:pt>
                <c:pt idx="5">
                  <c:v>0.42</c:v>
                </c:pt>
                <c:pt idx="6">
                  <c:v>7.4999999999999997E-2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Form_001!$C$37:$C$46</c:f>
              <c:numCache>
                <c:formatCode>0</c:formatCode>
                <c:ptCount val="1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76-4154-B0CE-E39821065060}"/>
            </c:ext>
          </c:extLst>
        </c:ser>
        <c:ser>
          <c:idx val="6"/>
          <c:order val="6"/>
          <c:tx>
            <c:strRef>
              <c:f>Form_001!$C$14</c:f>
              <c:strCache>
                <c:ptCount val="1"/>
                <c:pt idx="0">
                  <c:v>(mm)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Form_001!$E$37:$E$46</c:f>
              <c:numCache>
                <c:formatCode>0.0</c:formatCode>
                <c:ptCount val="10"/>
                <c:pt idx="0">
                  <c:v>25.4</c:v>
                </c:pt>
                <c:pt idx="1">
                  <c:v>19.100000000000001</c:v>
                </c:pt>
                <c:pt idx="2">
                  <c:v>9.5</c:v>
                </c:pt>
                <c:pt idx="3">
                  <c:v>4.75</c:v>
                </c:pt>
                <c:pt idx="4">
                  <c:v>2</c:v>
                </c:pt>
                <c:pt idx="5">
                  <c:v>0.42</c:v>
                </c:pt>
                <c:pt idx="6">
                  <c:v>7.4999999999999997E-2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Form_001!$D$37:$D$46</c:f>
              <c:numCache>
                <c:formatCode>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76-4154-B0CE-E39821065060}"/>
            </c:ext>
          </c:extLst>
        </c:ser>
        <c:ser>
          <c:idx val="0"/>
          <c:order val="0"/>
          <c:tx>
            <c:strRef>
              <c:f>Form_001!$G$12</c:f>
              <c:strCache>
                <c:ptCount val="1"/>
                <c:pt idx="0">
                  <c:v>Faixa de Trabalho</c:v>
                </c:pt>
              </c:strCache>
            </c:strRef>
          </c:tx>
          <c:spPr>
            <a:ln w="1905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Form_001!$E$37:$E$46</c:f>
              <c:numCache>
                <c:formatCode>0.0</c:formatCode>
                <c:ptCount val="10"/>
                <c:pt idx="0">
                  <c:v>25.4</c:v>
                </c:pt>
                <c:pt idx="1">
                  <c:v>19.100000000000001</c:v>
                </c:pt>
                <c:pt idx="2">
                  <c:v>9.5</c:v>
                </c:pt>
                <c:pt idx="3">
                  <c:v>4.75</c:v>
                </c:pt>
                <c:pt idx="4">
                  <c:v>2</c:v>
                </c:pt>
                <c:pt idx="5">
                  <c:v>0.42</c:v>
                </c:pt>
                <c:pt idx="6">
                  <c:v>7.4999999999999997E-2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Form_001!$F$37:$F$46</c:f>
              <c:numCache>
                <c:formatCode>0.0</c:formatCode>
                <c:ptCount val="10"/>
                <c:pt idx="0">
                  <c:v>100</c:v>
                </c:pt>
                <c:pt idx="1">
                  <c:v>100</c:v>
                </c:pt>
                <c:pt idx="2">
                  <c:v>71.103401590793709</c:v>
                </c:pt>
                <c:pt idx="3">
                  <c:v>57.615501776950417</c:v>
                </c:pt>
                <c:pt idx="4">
                  <c:v>33.872059570147229</c:v>
                </c:pt>
                <c:pt idx="5">
                  <c:v>14.943306820104924</c:v>
                </c:pt>
                <c:pt idx="6">
                  <c:v>6.1770181079708903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76-4154-B0CE-E39821065060}"/>
            </c:ext>
          </c:extLst>
        </c:ser>
        <c:ser>
          <c:idx val="1"/>
          <c:order val="1"/>
          <c:tx>
            <c:strRef>
              <c:f>Form_001!$I$12</c:f>
              <c:strCache>
                <c:ptCount val="1"/>
                <c:pt idx="0">
                  <c:v>Faixa Especificada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  <a:prstDash val="solid"/>
            </a:ln>
          </c:spPr>
          <c:marker>
            <c:symbol val="none"/>
          </c:marker>
          <c:xVal>
            <c:numRef>
              <c:f>Form_001!$E$37:$E$46</c:f>
              <c:numCache>
                <c:formatCode>0.0</c:formatCode>
                <c:ptCount val="10"/>
                <c:pt idx="0">
                  <c:v>25.4</c:v>
                </c:pt>
                <c:pt idx="1">
                  <c:v>19.100000000000001</c:v>
                </c:pt>
                <c:pt idx="2">
                  <c:v>9.5</c:v>
                </c:pt>
                <c:pt idx="3">
                  <c:v>4.75</c:v>
                </c:pt>
                <c:pt idx="4">
                  <c:v>2</c:v>
                </c:pt>
                <c:pt idx="5">
                  <c:v>0.42</c:v>
                </c:pt>
                <c:pt idx="6">
                  <c:v>7.4999999999999997E-2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Form_001!$I$37:$I$46</c:f>
              <c:numCache>
                <c:formatCode>0.0</c:formatCode>
                <c:ptCount val="10"/>
                <c:pt idx="0">
                  <c:v>100</c:v>
                </c:pt>
                <c:pt idx="1">
                  <c:v>90</c:v>
                </c:pt>
                <c:pt idx="2">
                  <c:v>56</c:v>
                </c:pt>
                <c:pt idx="3">
                  <c:v>35</c:v>
                </c:pt>
                <c:pt idx="4">
                  <c:v>22</c:v>
                </c:pt>
                <c:pt idx="5">
                  <c:v>8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76-4154-B0CE-E39821065060}"/>
            </c:ext>
          </c:extLst>
        </c:ser>
        <c:ser>
          <c:idx val="2"/>
          <c:order val="2"/>
          <c:tx>
            <c:v>Faixa de Especificação</c:v>
          </c:tx>
          <c:spPr>
            <a:ln w="19050">
              <a:solidFill>
                <a:sysClr val="windowText" lastClr="000000"/>
              </a:solidFill>
              <a:prstDash val="solid"/>
            </a:ln>
          </c:spPr>
          <c:marker>
            <c:symbol val="none"/>
          </c:marker>
          <c:xVal>
            <c:numRef>
              <c:f>Form_001!$E$37:$E$46</c:f>
              <c:numCache>
                <c:formatCode>0.0</c:formatCode>
                <c:ptCount val="10"/>
                <c:pt idx="0">
                  <c:v>25.4</c:v>
                </c:pt>
                <c:pt idx="1">
                  <c:v>19.100000000000001</c:v>
                </c:pt>
                <c:pt idx="2">
                  <c:v>9.5</c:v>
                </c:pt>
                <c:pt idx="3">
                  <c:v>4.75</c:v>
                </c:pt>
                <c:pt idx="4">
                  <c:v>2</c:v>
                </c:pt>
                <c:pt idx="5">
                  <c:v>0.42</c:v>
                </c:pt>
                <c:pt idx="6">
                  <c:v>7.4999999999999997E-2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Form_001!$J$37:$J$46</c:f>
              <c:numCache>
                <c:formatCode>0.0</c:formatCode>
                <c:ptCount val="10"/>
                <c:pt idx="0">
                  <c:v>100</c:v>
                </c:pt>
                <c:pt idx="1">
                  <c:v>100</c:v>
                </c:pt>
                <c:pt idx="2">
                  <c:v>80</c:v>
                </c:pt>
                <c:pt idx="3">
                  <c:v>65</c:v>
                </c:pt>
                <c:pt idx="4">
                  <c:v>46</c:v>
                </c:pt>
                <c:pt idx="5">
                  <c:v>24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076-4154-B0CE-E39821065060}"/>
            </c:ext>
          </c:extLst>
        </c:ser>
        <c:ser>
          <c:idx val="3"/>
          <c:order val="3"/>
          <c:tx>
            <c:v>Faixa de Trabalho</c:v>
          </c:tx>
          <c:spPr>
            <a:ln w="19050">
              <a:solidFill>
                <a:srgbClr val="002060"/>
              </a:solidFill>
              <a:prstDash val="dash"/>
            </a:ln>
          </c:spPr>
          <c:marker>
            <c:symbol val="none"/>
          </c:marker>
          <c:xVal>
            <c:numRef>
              <c:f>Form_001!$E$37:$E$46</c:f>
              <c:numCache>
                <c:formatCode>0.0</c:formatCode>
                <c:ptCount val="10"/>
                <c:pt idx="0">
                  <c:v>25.4</c:v>
                </c:pt>
                <c:pt idx="1">
                  <c:v>19.100000000000001</c:v>
                </c:pt>
                <c:pt idx="2">
                  <c:v>9.5</c:v>
                </c:pt>
                <c:pt idx="3">
                  <c:v>4.75</c:v>
                </c:pt>
                <c:pt idx="4">
                  <c:v>2</c:v>
                </c:pt>
                <c:pt idx="5">
                  <c:v>0.42</c:v>
                </c:pt>
                <c:pt idx="6">
                  <c:v>7.4999999999999997E-2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Form_001!$G$37:$G$46</c:f>
              <c:numCache>
                <c:formatCode>0.0</c:formatCode>
                <c:ptCount val="10"/>
                <c:pt idx="0">
                  <c:v>100</c:v>
                </c:pt>
                <c:pt idx="1">
                  <c:v>92.86</c:v>
                </c:pt>
                <c:pt idx="2">
                  <c:v>66.48</c:v>
                </c:pt>
                <c:pt idx="3">
                  <c:v>50.11</c:v>
                </c:pt>
                <c:pt idx="4">
                  <c:v>29.07</c:v>
                </c:pt>
                <c:pt idx="5">
                  <c:v>8</c:v>
                </c:pt>
                <c:pt idx="6">
                  <c:v>4.38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076-4154-B0CE-E39821065060}"/>
            </c:ext>
          </c:extLst>
        </c:ser>
        <c:ser>
          <c:idx val="4"/>
          <c:order val="4"/>
          <c:tx>
            <c:strRef>
              <c:f>Form_001!#REF!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002060"/>
              </a:solidFill>
              <a:prstDash val="dash"/>
            </a:ln>
          </c:spPr>
          <c:marker>
            <c:symbol val="none"/>
          </c:marker>
          <c:xVal>
            <c:numRef>
              <c:f>Form_001!$E$37:$E$46</c:f>
              <c:numCache>
                <c:formatCode>0.0</c:formatCode>
                <c:ptCount val="10"/>
                <c:pt idx="0">
                  <c:v>25.4</c:v>
                </c:pt>
                <c:pt idx="1">
                  <c:v>19.100000000000001</c:v>
                </c:pt>
                <c:pt idx="2">
                  <c:v>9.5</c:v>
                </c:pt>
                <c:pt idx="3">
                  <c:v>4.75</c:v>
                </c:pt>
                <c:pt idx="4">
                  <c:v>2</c:v>
                </c:pt>
                <c:pt idx="5">
                  <c:v>0.42</c:v>
                </c:pt>
                <c:pt idx="6">
                  <c:v>7.4999999999999997E-2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xVal>
          <c:yVal>
            <c:numRef>
              <c:f>Form_001!$H$37:$H$46</c:f>
              <c:numCache>
                <c:formatCode>0.0</c:formatCode>
                <c:ptCount val="10"/>
                <c:pt idx="0">
                  <c:v>100</c:v>
                </c:pt>
                <c:pt idx="1">
                  <c:v>100</c:v>
                </c:pt>
                <c:pt idx="2">
                  <c:v>80</c:v>
                </c:pt>
                <c:pt idx="3">
                  <c:v>60.11</c:v>
                </c:pt>
                <c:pt idx="4">
                  <c:v>39.07</c:v>
                </c:pt>
                <c:pt idx="5">
                  <c:v>17.149999999999999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076-4154-B0CE-E39821065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34848"/>
        <c:axId val="96135424"/>
      </c:scatterChart>
      <c:valAx>
        <c:axId val="96134848"/>
        <c:scaling>
          <c:logBase val="10"/>
          <c:orientation val="minMax"/>
          <c:max val="100"/>
          <c:min val="1.0000000000000002E-2"/>
        </c:scaling>
        <c:delete val="1"/>
        <c:axPos val="b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crossAx val="96135424"/>
        <c:crosses val="autoZero"/>
        <c:crossBetween val="midCat"/>
        <c:majorUnit val="10"/>
        <c:minorUnit val="10"/>
      </c:valAx>
      <c:valAx>
        <c:axId val="9613542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100"/>
                </a:pPr>
                <a:r>
                  <a:rPr lang="pt-BR" sz="1100" b="0" i="0" baseline="0">
                    <a:effectLst/>
                  </a:rPr>
                  <a:t>% Passando da Mistura</a:t>
                </a:r>
                <a:endParaRPr lang="pt-BR" sz="1100">
                  <a:effectLst/>
                </a:endParaRPr>
              </a:p>
            </c:rich>
          </c:tx>
          <c:overlay val="0"/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bg2">
                <a:lumMod val="90000"/>
              </a:schemeClr>
            </a:solidFill>
            <a:prstDash val="solid"/>
            <a:round/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96134848"/>
        <c:crosses val="autoZero"/>
        <c:crossBetween val="midCat"/>
      </c:valAx>
      <c:spPr>
        <a:noFill/>
        <a:ln w="25400">
          <a:solidFill>
            <a:schemeClr val="bg2">
              <a:lumMod val="90000"/>
            </a:schemeClr>
          </a:solidFill>
        </a:ln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3"/>
        <c:delete val="1"/>
      </c:legendEntry>
      <c:legendEntry>
        <c:idx val="6"/>
        <c:delete val="1"/>
      </c:legendEntry>
      <c:layout>
        <c:manualLayout>
          <c:xMode val="edge"/>
          <c:yMode val="edge"/>
          <c:x val="0"/>
          <c:y val="0.95919297770090506"/>
          <c:w val="0.9996135721017908"/>
          <c:h val="3.0420353982300887E-2"/>
        </c:manualLayout>
      </c:layout>
      <c:overlay val="0"/>
      <c:spPr>
        <a:solidFill>
          <a:schemeClr val="lt1"/>
        </a:solidFill>
        <a:ln w="3175" cap="flat" cmpd="sng" algn="ctr">
          <a:solidFill>
            <a:schemeClr val="bg1"/>
          </a:solidFill>
          <a:prstDash val="solid"/>
        </a:ln>
        <a:effectLst/>
      </c:spPr>
      <c:txPr>
        <a:bodyPr/>
        <a:lstStyle/>
        <a:p>
          <a:pPr>
            <a:defRPr sz="900"/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3175" cap="flat" cmpd="sng" algn="ctr">
      <a:solidFill>
        <a:srgbClr val="133052"/>
      </a:solidFill>
      <a:prstDash val="solid"/>
      <a:round/>
    </a:ln>
    <a:effectLst/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Calibri"/>
          <a:cs typeface="Calibr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#Form_001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30919</xdr:colOff>
      <xdr:row>34</xdr:row>
      <xdr:rowOff>33565</xdr:rowOff>
    </xdr:from>
    <xdr:to>
      <xdr:col>12</xdr:col>
      <xdr:colOff>1069323</xdr:colOff>
      <xdr:row>55</xdr:row>
      <xdr:rowOff>227693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0CAABE-49CD-4608-BD09-6B319A3C02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559910</xdr:colOff>
      <xdr:row>1</xdr:row>
      <xdr:rowOff>59418</xdr:rowOff>
    </xdr:from>
    <xdr:to>
      <xdr:col>2</xdr:col>
      <xdr:colOff>975483</xdr:colOff>
      <xdr:row>4</xdr:row>
      <xdr:rowOff>130655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98E3E28-F404-42C3-B21D-CC181E3706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513"/>
        <a:stretch/>
      </xdr:blipFill>
      <xdr:spPr>
        <a:xfrm>
          <a:off x="813910" y="304347"/>
          <a:ext cx="1558573" cy="651808"/>
        </a:xfrm>
        <a:prstGeom prst="rect">
          <a:avLst/>
        </a:prstGeom>
      </xdr:spPr>
    </xdr:pic>
    <xdr:clientData/>
  </xdr:twoCellAnchor>
  <xdr:twoCellAnchor>
    <xdr:from>
      <xdr:col>14</xdr:col>
      <xdr:colOff>555625</xdr:colOff>
      <xdr:row>1</xdr:row>
      <xdr:rowOff>0</xdr:rowOff>
    </xdr:from>
    <xdr:to>
      <xdr:col>18</xdr:col>
      <xdr:colOff>434067</xdr:colOff>
      <xdr:row>19</xdr:row>
      <xdr:rowOff>14290</xdr:rowOff>
    </xdr:to>
    <xdr:grpSp>
      <xdr:nvGrpSpPr>
        <xdr:cNvPr id="5" name="Menu">
          <a:extLst>
            <a:ext uri="{FF2B5EF4-FFF2-40B4-BE49-F238E27FC236}">
              <a16:creationId xmlns:a16="http://schemas.microsoft.com/office/drawing/2014/main" id="{807E9DDA-F84B-49B0-056B-77608E8A63C9}"/>
            </a:ext>
          </a:extLst>
        </xdr:cNvPr>
        <xdr:cNvGrpSpPr/>
      </xdr:nvGrpSpPr>
      <xdr:grpSpPr>
        <a:xfrm>
          <a:off x="16122196" y="239486"/>
          <a:ext cx="2708728" cy="4237947"/>
          <a:chOff x="13799344" y="71436"/>
          <a:chExt cx="2354036" cy="4274686"/>
        </a:xfrm>
      </xdr:grpSpPr>
      <xdr:sp macro="" textlink="">
        <xdr:nvSpPr>
          <xdr:cNvPr id="4" name="BackMenu">
            <a:extLst>
              <a:ext uri="{FF2B5EF4-FFF2-40B4-BE49-F238E27FC236}">
                <a16:creationId xmlns:a16="http://schemas.microsoft.com/office/drawing/2014/main" id="{C3F363BC-19CA-5664-97A8-2FBCD21E7AF6}"/>
              </a:ext>
            </a:extLst>
          </xdr:cNvPr>
          <xdr:cNvSpPr/>
        </xdr:nvSpPr>
        <xdr:spPr>
          <a:xfrm>
            <a:off x="13799344" y="71436"/>
            <a:ext cx="2354036" cy="4274686"/>
          </a:xfrm>
          <a:prstGeom prst="roundRect">
            <a:avLst>
              <a:gd name="adj" fmla="val 6007"/>
            </a:avLst>
          </a:prstGeom>
          <a:solidFill>
            <a:srgbClr val="1D3557"/>
          </a:solidFill>
          <a:ln w="9525"/>
          <a:effectLst>
            <a:innerShdw blurRad="63500" dist="50800" dir="27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8" name="BtSalvar">
            <a:extLst>
              <a:ext uri="{FF2B5EF4-FFF2-40B4-BE49-F238E27FC236}">
                <a16:creationId xmlns:a16="http://schemas.microsoft.com/office/drawing/2014/main" id="{534712A4-1598-66FD-DC3A-7AEB157A1D0D}"/>
              </a:ext>
            </a:extLst>
          </xdr:cNvPr>
          <xdr:cNvGrpSpPr/>
        </xdr:nvGrpSpPr>
        <xdr:grpSpPr>
          <a:xfrm>
            <a:off x="13899356" y="292555"/>
            <a:ext cx="2151630" cy="585106"/>
            <a:chOff x="13816012" y="1166813"/>
            <a:chExt cx="2143125" cy="583406"/>
          </a:xfrm>
        </xdr:grpSpPr>
        <xdr:sp macro="[0]!Planilha3.Salvar_Registro" textlink="">
          <xdr:nvSpPr>
            <xdr:cNvPr id="9" name="Retângulo: Cantos Arredondados 8">
              <a:extLst>
                <a:ext uri="{FF2B5EF4-FFF2-40B4-BE49-F238E27FC236}">
                  <a16:creationId xmlns:a16="http://schemas.microsoft.com/office/drawing/2014/main" id="{EDE547F6-8A5B-4E5A-7BC4-5265C0C89C45}"/>
                </a:ext>
              </a:extLst>
            </xdr:cNvPr>
            <xdr:cNvSpPr/>
          </xdr:nvSpPr>
          <xdr:spPr>
            <a:xfrm>
              <a:off x="13816012" y="1166813"/>
              <a:ext cx="2143125" cy="583406"/>
            </a:xfrm>
            <a:prstGeom prst="roundRect">
              <a:avLst/>
            </a:prstGeom>
            <a:solidFill>
              <a:schemeClr val="tx2">
                <a:lumMod val="10000"/>
                <a:lumOff val="9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Planilha3.Salvar_Registro">
          <xdr:nvPicPr>
            <xdr:cNvPr id="11" name="Imagem 10">
              <a:extLst>
                <a:ext uri="{FF2B5EF4-FFF2-40B4-BE49-F238E27FC236}">
                  <a16:creationId xmlns:a16="http://schemas.microsoft.com/office/drawing/2014/main" id="{9C97448A-E4B6-B958-401C-BDEE5E23FE3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4089857" y="1245477"/>
              <a:ext cx="424542" cy="424542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sp macro="[0]!Planilha3.Salvar_Registro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id="{543C8A7B-2ADD-60AC-1C0B-A5F142DFA331}"/>
                </a:ext>
              </a:extLst>
            </xdr:cNvPr>
            <xdr:cNvSpPr/>
          </xdr:nvSpPr>
          <xdr:spPr>
            <a:xfrm>
              <a:off x="14749352" y="1215887"/>
              <a:ext cx="1014638" cy="483722"/>
            </a:xfrm>
            <a:prstGeom prst="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wrap="none" lIns="91440" tIns="45720" rIns="91440" bIns="45720">
              <a:noAutofit/>
            </a:bodyPr>
            <a:lstStyle/>
            <a:p>
              <a:pPr algn="ctr"/>
              <a:r>
                <a:rPr lang="pt-BR" sz="2500" b="1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Salvar</a:t>
              </a:r>
            </a:p>
          </xdr:txBody>
        </xdr:sp>
      </xdr:grpSp>
      <xdr:grpSp>
        <xdr:nvGrpSpPr>
          <xdr:cNvPr id="40" name="BtEditar">
            <a:extLst>
              <a:ext uri="{FF2B5EF4-FFF2-40B4-BE49-F238E27FC236}">
                <a16:creationId xmlns:a16="http://schemas.microsoft.com/office/drawing/2014/main" id="{C20273D0-7CF1-3489-2C91-ADFA91AA28F5}"/>
              </a:ext>
            </a:extLst>
          </xdr:cNvPr>
          <xdr:cNvGrpSpPr/>
        </xdr:nvGrpSpPr>
        <xdr:grpSpPr>
          <a:xfrm>
            <a:off x="13899356" y="1744094"/>
            <a:ext cx="2151630" cy="588510"/>
            <a:chOff x="13816012" y="2609849"/>
            <a:chExt cx="2143125" cy="583406"/>
          </a:xfrm>
        </xdr:grpSpPr>
        <xdr:sp macro="[0]!Planilha3.Editar_Registro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0D1731E1-76B3-1D39-D525-8B7F183F2890}"/>
                </a:ext>
              </a:extLst>
            </xdr:cNvPr>
            <xdr:cNvSpPr/>
          </xdr:nvSpPr>
          <xdr:spPr>
            <a:xfrm>
              <a:off x="13816012" y="2609849"/>
              <a:ext cx="2143125" cy="583406"/>
            </a:xfrm>
            <a:prstGeom prst="roundRect">
              <a:avLst/>
            </a:prstGeom>
            <a:solidFill>
              <a:schemeClr val="tx2">
                <a:lumMod val="10000"/>
                <a:lumOff val="9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Planilha3.Editar_Registro">
          <xdr:nvPicPr>
            <xdr:cNvPr id="16" name="Imagem 15">
              <a:extLst>
                <a:ext uri="{FF2B5EF4-FFF2-40B4-BE49-F238E27FC236}">
                  <a16:creationId xmlns:a16="http://schemas.microsoft.com/office/drawing/2014/main" id="{BDD3C886-6E60-E773-229F-20D468F7AA4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4089857" y="2688513"/>
              <a:ext cx="424542" cy="424542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sp macro="[0]!Planilha3.Editar_Registro" textlink="">
          <xdr:nvSpPr>
            <xdr:cNvPr id="17" name="Retângulo 16">
              <a:extLst>
                <a:ext uri="{FF2B5EF4-FFF2-40B4-BE49-F238E27FC236}">
                  <a16:creationId xmlns:a16="http://schemas.microsoft.com/office/drawing/2014/main" id="{5693F64E-E827-0C38-8999-CAF71AC837F1}"/>
                </a:ext>
              </a:extLst>
            </xdr:cNvPr>
            <xdr:cNvSpPr/>
          </xdr:nvSpPr>
          <xdr:spPr>
            <a:xfrm>
              <a:off x="14771570" y="2658923"/>
              <a:ext cx="970202" cy="483722"/>
            </a:xfrm>
            <a:prstGeom prst="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wrap="none" lIns="91440" tIns="45720" rIns="91440" bIns="45720">
              <a:noAutofit/>
            </a:bodyPr>
            <a:lstStyle/>
            <a:p>
              <a:pPr algn="ctr"/>
              <a:r>
                <a:rPr lang="pt-BR" sz="2500" b="1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Editar</a:t>
              </a:r>
            </a:p>
          </xdr:txBody>
        </xdr:sp>
      </xdr:grpSp>
      <xdr:grpSp>
        <xdr:nvGrpSpPr>
          <xdr:cNvPr id="41" name="BtExcluir">
            <a:extLst>
              <a:ext uri="{FF2B5EF4-FFF2-40B4-BE49-F238E27FC236}">
                <a16:creationId xmlns:a16="http://schemas.microsoft.com/office/drawing/2014/main" id="{23F03B51-C008-EC2E-E131-64383381A888}"/>
              </a:ext>
            </a:extLst>
          </xdr:cNvPr>
          <xdr:cNvGrpSpPr/>
        </xdr:nvGrpSpPr>
        <xdr:grpSpPr>
          <a:xfrm>
            <a:off x="13899356" y="2473097"/>
            <a:ext cx="2151630" cy="607218"/>
            <a:chOff x="13816012" y="3333748"/>
            <a:chExt cx="2143125" cy="583406"/>
          </a:xfrm>
        </xdr:grpSpPr>
        <xdr:sp macro="[0]!Planilha3.Excluir_Registro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D3684890-A2F7-88D3-5F5F-C8261DB5103D}"/>
                </a:ext>
              </a:extLst>
            </xdr:cNvPr>
            <xdr:cNvSpPr/>
          </xdr:nvSpPr>
          <xdr:spPr>
            <a:xfrm>
              <a:off x="13816012" y="3333748"/>
              <a:ext cx="2143125" cy="583406"/>
            </a:xfrm>
            <a:prstGeom prst="roundRect">
              <a:avLst/>
            </a:prstGeom>
            <a:solidFill>
              <a:schemeClr val="tx2">
                <a:lumMod val="10000"/>
                <a:lumOff val="9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Planilha3.Excluir_Registro">
          <xdr:nvPicPr>
            <xdr:cNvPr id="20" name="Imagem 19">
              <a:extLst>
                <a:ext uri="{FF2B5EF4-FFF2-40B4-BE49-F238E27FC236}">
                  <a16:creationId xmlns:a16="http://schemas.microsoft.com/office/drawing/2014/main" id="{65C280D1-1A4E-B80E-D86B-DF8C548CCCD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4089857" y="3412412"/>
              <a:ext cx="424542" cy="424542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sp macro="[0]!Planilha3.Excluir_Registro" textlink="">
          <xdr:nvSpPr>
            <xdr:cNvPr id="21" name="Retângulo 20">
              <a:extLst>
                <a:ext uri="{FF2B5EF4-FFF2-40B4-BE49-F238E27FC236}">
                  <a16:creationId xmlns:a16="http://schemas.microsoft.com/office/drawing/2014/main" id="{84E5326C-AC00-5414-D98E-31F2B71A8DEE}"/>
                </a:ext>
              </a:extLst>
            </xdr:cNvPr>
            <xdr:cNvSpPr/>
          </xdr:nvSpPr>
          <xdr:spPr>
            <a:xfrm>
              <a:off x="14709277" y="3382822"/>
              <a:ext cx="1094788" cy="483722"/>
            </a:xfrm>
            <a:prstGeom prst="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wrap="none" lIns="91440" tIns="45720" rIns="91440" bIns="45720">
              <a:noAutofit/>
            </a:bodyPr>
            <a:lstStyle/>
            <a:p>
              <a:pPr algn="ctr"/>
              <a:r>
                <a:rPr lang="pt-BR" sz="2500" b="1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Excluir</a:t>
              </a:r>
            </a:p>
          </xdr:txBody>
        </xdr:sp>
      </xdr:grpSp>
      <xdr:grpSp>
        <xdr:nvGrpSpPr>
          <xdr:cNvPr id="39" name="BtNovo">
            <a:extLst>
              <a:ext uri="{FF2B5EF4-FFF2-40B4-BE49-F238E27FC236}">
                <a16:creationId xmlns:a16="http://schemas.microsoft.com/office/drawing/2014/main" id="{4945470D-5A39-8E82-2F39-3E423B60E294}"/>
              </a:ext>
            </a:extLst>
          </xdr:cNvPr>
          <xdr:cNvGrpSpPr/>
        </xdr:nvGrpSpPr>
        <xdr:grpSpPr>
          <a:xfrm>
            <a:off x="13899356" y="1018154"/>
            <a:ext cx="2151630" cy="588509"/>
            <a:chOff x="13816012" y="1890712"/>
            <a:chExt cx="2143125" cy="583406"/>
          </a:xfrm>
        </xdr:grpSpPr>
        <xdr:sp macro="[0]!Planilha3.Novo_Registro" textlink="">
          <xdr:nvSpPr>
            <xdr:cNvPr id="23" name="Retângulo: Cantos Arredondados 22">
              <a:extLst>
                <a:ext uri="{FF2B5EF4-FFF2-40B4-BE49-F238E27FC236}">
                  <a16:creationId xmlns:a16="http://schemas.microsoft.com/office/drawing/2014/main" id="{24796A02-B59C-AE68-AB7D-C87BD8194313}"/>
                </a:ext>
              </a:extLst>
            </xdr:cNvPr>
            <xdr:cNvSpPr/>
          </xdr:nvSpPr>
          <xdr:spPr>
            <a:xfrm>
              <a:off x="13816012" y="1890712"/>
              <a:ext cx="2143125" cy="583406"/>
            </a:xfrm>
            <a:prstGeom prst="roundRect">
              <a:avLst/>
            </a:prstGeom>
            <a:solidFill>
              <a:schemeClr val="tx2">
                <a:lumMod val="10000"/>
                <a:lumOff val="9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Planilha3.Novo_Registro">
          <xdr:nvPicPr>
            <xdr:cNvPr id="24" name="Imagem 23">
              <a:extLst>
                <a:ext uri="{FF2B5EF4-FFF2-40B4-BE49-F238E27FC236}">
                  <a16:creationId xmlns:a16="http://schemas.microsoft.com/office/drawing/2014/main" id="{56063EA7-D384-5CD4-E335-38B9D8C9C48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4089857" y="1969376"/>
              <a:ext cx="424542" cy="424542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sp macro="[0]!Planilha3.Novo_Registro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BEE9C814-2182-B4DC-518D-80963DC23708}"/>
                </a:ext>
              </a:extLst>
            </xdr:cNvPr>
            <xdr:cNvSpPr/>
          </xdr:nvSpPr>
          <xdr:spPr>
            <a:xfrm>
              <a:off x="14823636" y="1939786"/>
              <a:ext cx="866071" cy="483722"/>
            </a:xfrm>
            <a:prstGeom prst="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wrap="none" lIns="91440" tIns="45720" rIns="91440" bIns="45720">
              <a:noAutofit/>
            </a:bodyPr>
            <a:lstStyle/>
            <a:p>
              <a:pPr algn="ctr"/>
              <a:r>
                <a:rPr lang="pt-BR" sz="2500" b="1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Novo</a:t>
              </a:r>
            </a:p>
          </xdr:txBody>
        </xdr:sp>
      </xdr:grpSp>
      <xdr:grpSp>
        <xdr:nvGrpSpPr>
          <xdr:cNvPr id="42" name="BtAntes">
            <a:extLst>
              <a:ext uri="{FF2B5EF4-FFF2-40B4-BE49-F238E27FC236}">
                <a16:creationId xmlns:a16="http://schemas.microsoft.com/office/drawing/2014/main" id="{D87EB0D7-5232-273B-8B5B-9171567C7AE1}"/>
              </a:ext>
            </a:extLst>
          </xdr:cNvPr>
          <xdr:cNvGrpSpPr/>
        </xdr:nvGrpSpPr>
        <xdr:grpSpPr>
          <a:xfrm>
            <a:off x="13908881" y="3257548"/>
            <a:ext cx="884464" cy="828336"/>
            <a:chOff x="13825537" y="4090985"/>
            <a:chExt cx="881063" cy="833439"/>
          </a:xfrm>
        </xdr:grpSpPr>
        <xdr:sp macro="[0]!Planilha3.Registro_Anterior" textlink="">
          <xdr:nvSpPr>
            <xdr:cNvPr id="27" name="Retângulo: Cantos Arredondados 26">
              <a:extLst>
                <a:ext uri="{FF2B5EF4-FFF2-40B4-BE49-F238E27FC236}">
                  <a16:creationId xmlns:a16="http://schemas.microsoft.com/office/drawing/2014/main" id="{49DBBBA2-A7C8-B4D4-EE5B-75A5CAEE0151}"/>
                </a:ext>
              </a:extLst>
            </xdr:cNvPr>
            <xdr:cNvSpPr/>
          </xdr:nvSpPr>
          <xdr:spPr>
            <a:xfrm>
              <a:off x="13825537" y="4090985"/>
              <a:ext cx="881063" cy="833439"/>
            </a:xfrm>
            <a:prstGeom prst="roundRect">
              <a:avLst/>
            </a:prstGeom>
            <a:solidFill>
              <a:schemeClr val="tx2">
                <a:lumMod val="10000"/>
                <a:lumOff val="9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Planilha3.Registro_Anterior">
          <xdr:nvPicPr>
            <xdr:cNvPr id="31" name="Imagem 30">
              <a:extLst>
                <a:ext uri="{FF2B5EF4-FFF2-40B4-BE49-F238E27FC236}">
                  <a16:creationId xmlns:a16="http://schemas.microsoft.com/office/drawing/2014/main" id="{4FD4986E-011F-FF64-E986-501A1189FA7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949242" y="4183404"/>
              <a:ext cx="633652" cy="648600"/>
            </a:xfrm>
            <a:prstGeom prst="rect">
              <a:avLst/>
            </a:prstGeom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xdr:spPr>
        </xdr:pic>
      </xdr:grpSp>
      <xdr:grpSp>
        <xdr:nvGrpSpPr>
          <xdr:cNvPr id="43" name="BtProximo">
            <a:extLst>
              <a:ext uri="{FF2B5EF4-FFF2-40B4-BE49-F238E27FC236}">
                <a16:creationId xmlns:a16="http://schemas.microsoft.com/office/drawing/2014/main" id="{075CB0ED-6ACA-1152-5E75-BBE939574CD9}"/>
              </a:ext>
            </a:extLst>
          </xdr:cNvPr>
          <xdr:cNvGrpSpPr/>
        </xdr:nvGrpSpPr>
        <xdr:grpSpPr>
          <a:xfrm>
            <a:off x="15159377" y="3257548"/>
            <a:ext cx="884465" cy="828336"/>
            <a:chOff x="15070931" y="4090985"/>
            <a:chExt cx="881062" cy="833439"/>
          </a:xfrm>
        </xdr:grpSpPr>
        <xdr:sp macro="[0]!Planilha3.Proximo_Registro" textlink="">
          <xdr:nvSpPr>
            <xdr:cNvPr id="34" name="Retângulo: Cantos Arredondados 33">
              <a:extLst>
                <a:ext uri="{FF2B5EF4-FFF2-40B4-BE49-F238E27FC236}">
                  <a16:creationId xmlns:a16="http://schemas.microsoft.com/office/drawing/2014/main" id="{D9F560AA-50D7-5BA4-35FF-062AD4D671D0}"/>
                </a:ext>
              </a:extLst>
            </xdr:cNvPr>
            <xdr:cNvSpPr/>
          </xdr:nvSpPr>
          <xdr:spPr>
            <a:xfrm>
              <a:off x="15070931" y="4090985"/>
              <a:ext cx="881062" cy="833439"/>
            </a:xfrm>
            <a:prstGeom prst="roundRect">
              <a:avLst/>
            </a:prstGeom>
            <a:solidFill>
              <a:schemeClr val="tx2">
                <a:lumMod val="10000"/>
                <a:lumOff val="9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Planilha3.Proximo_Registro">
          <xdr:nvPicPr>
            <xdr:cNvPr id="35" name="Imagem 34">
              <a:extLst>
                <a:ext uri="{FF2B5EF4-FFF2-40B4-BE49-F238E27FC236}">
                  <a16:creationId xmlns:a16="http://schemas.microsoft.com/office/drawing/2014/main" id="{BF1C38FE-D56C-8E2B-3281-1AC37DB65E4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5194636" y="4191872"/>
              <a:ext cx="633651" cy="631663"/>
            </a:xfrm>
            <a:prstGeom prst="rect">
              <a:avLst/>
            </a:prstGeom>
            <a:effectLst>
              <a:outerShdw blurRad="50800" dist="38100" dir="10800000" algn="r" rotWithShape="0">
                <a:prstClr val="black">
                  <a:alpha val="40000"/>
                </a:prstClr>
              </a:outerShdw>
            </a:effectLst>
          </xdr:spPr>
        </xdr:pic>
      </xdr:grpSp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449686</xdr:colOff>
      <xdr:row>10</xdr:row>
      <xdr:rowOff>147103</xdr:rowOff>
    </xdr:from>
    <xdr:ext cx="5907836" cy="937693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11BDB0E-B6B5-953F-51EA-A53B64732951}"/>
            </a:ext>
          </a:extLst>
        </xdr:cNvPr>
        <xdr:cNvSpPr/>
      </xdr:nvSpPr>
      <xdr:spPr>
        <a:xfrm>
          <a:off x="2888086" y="2052103"/>
          <a:ext cx="5907836" cy="937693"/>
        </a:xfrm>
        <a:prstGeom prst="rect">
          <a:avLst/>
        </a:prstGeom>
        <a:noFill/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Marshall e Extração</a:t>
          </a:r>
        </a:p>
      </xdr:txBody>
    </xdr:sp>
    <xdr:clientData/>
  </xdr:oneCellAnchor>
  <xdr:twoCellAnchor>
    <xdr:from>
      <xdr:col>6</xdr:col>
      <xdr:colOff>604842</xdr:colOff>
      <xdr:row>16</xdr:row>
      <xdr:rowOff>3175</xdr:rowOff>
    </xdr:from>
    <xdr:to>
      <xdr:col>12</xdr:col>
      <xdr:colOff>106367</xdr:colOff>
      <xdr:row>23</xdr:row>
      <xdr:rowOff>3175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17220094-4179-55D7-C237-25FB9DB02027}"/>
            </a:ext>
          </a:extLst>
        </xdr:cNvPr>
        <xdr:cNvGrpSpPr/>
      </xdr:nvGrpSpPr>
      <xdr:grpSpPr>
        <a:xfrm>
          <a:off x="4765362" y="2807335"/>
          <a:ext cx="3662045" cy="1226820"/>
          <a:chOff x="4133850" y="3051175"/>
          <a:chExt cx="3159125" cy="1333500"/>
        </a:xfrm>
      </xdr:grpSpPr>
      <xdr:sp macro="" textlink="">
        <xdr:nvSpPr>
          <xdr:cNvPr id="4" name="BackMenu">
            <a:extLst>
              <a:ext uri="{FF2B5EF4-FFF2-40B4-BE49-F238E27FC236}">
                <a16:creationId xmlns:a16="http://schemas.microsoft.com/office/drawing/2014/main" id="{C5204ED8-3707-1D06-02FF-EC30B86A67EE}"/>
              </a:ext>
            </a:extLst>
          </xdr:cNvPr>
          <xdr:cNvSpPr/>
        </xdr:nvSpPr>
        <xdr:spPr>
          <a:xfrm>
            <a:off x="4133850" y="3051175"/>
            <a:ext cx="3159125" cy="1333500"/>
          </a:xfrm>
          <a:prstGeom prst="roundRect">
            <a:avLst>
              <a:gd name="adj" fmla="val 13626"/>
            </a:avLst>
          </a:prstGeom>
          <a:solidFill>
            <a:srgbClr val="1D3557"/>
          </a:solidFill>
          <a:ln w="9525"/>
          <a:effectLst>
            <a:innerShdw blurRad="63500" dist="50800" dir="27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Agrupar 2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84A7BA-68CA-8120-C120-EB69AE669D90}"/>
              </a:ext>
            </a:extLst>
          </xdr:cNvPr>
          <xdr:cNvGrpSpPr/>
        </xdr:nvGrpSpPr>
        <xdr:grpSpPr>
          <a:xfrm>
            <a:off x="4624746" y="3425847"/>
            <a:ext cx="2177333" cy="590507"/>
            <a:chOff x="4625582" y="3426735"/>
            <a:chExt cx="2177333" cy="590507"/>
          </a:xfr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4" name="Retângulo: Cantos Arredondados 23">
              <a:extLst>
                <a:ext uri="{FF2B5EF4-FFF2-40B4-BE49-F238E27FC236}">
                  <a16:creationId xmlns:a16="http://schemas.microsoft.com/office/drawing/2014/main" id="{48A5569C-D8E9-334F-C517-E4D7888A40D5}"/>
                </a:ext>
              </a:extLst>
            </xdr:cNvPr>
            <xdr:cNvSpPr/>
          </xdr:nvSpPr>
          <xdr:spPr>
            <a:xfrm>
              <a:off x="4625582" y="3426735"/>
              <a:ext cx="2177333" cy="590507"/>
            </a:xfrm>
            <a:prstGeom prst="roundRect">
              <a:avLst/>
            </a:prstGeom>
            <a:solidFill>
              <a:schemeClr val="tx2">
                <a:lumMod val="10000"/>
                <a:lumOff val="9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25" name="Imagem 24">
              <a:extLst>
                <a:ext uri="{FF2B5EF4-FFF2-40B4-BE49-F238E27FC236}">
                  <a16:creationId xmlns:a16="http://schemas.microsoft.com/office/drawing/2014/main" id="{92EB466E-7FCF-2CF0-179C-73608D5AD8B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4907379" y="3505237"/>
              <a:ext cx="425597" cy="431947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sp macro="" textlink="">
          <xdr:nvSpPr>
            <xdr:cNvPr id="26" name="Retângulo 25">
              <a:extLst>
                <a:ext uri="{FF2B5EF4-FFF2-40B4-BE49-F238E27FC236}">
                  <a16:creationId xmlns:a16="http://schemas.microsoft.com/office/drawing/2014/main" id="{CD59D2B1-CDB7-DFEE-381F-0CF1484CDDC1}"/>
                </a:ext>
              </a:extLst>
            </xdr:cNvPr>
            <xdr:cNvSpPr/>
          </xdr:nvSpPr>
          <xdr:spPr>
            <a:xfrm>
              <a:off x="5575202" y="3476406"/>
              <a:ext cx="1032337" cy="486435"/>
            </a:xfrm>
            <a:prstGeom prst="rect">
              <a:avLst/>
            </a:prstGeom>
            <a:noFill/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wrap="none" lIns="91440" tIns="45720" rIns="91440" bIns="45720">
              <a:noAutofit/>
            </a:bodyPr>
            <a:lstStyle/>
            <a:p>
              <a:pPr algn="ctr"/>
              <a:r>
                <a:rPr lang="pt-BR" sz="2500" b="1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Ensaio</a:t>
              </a:r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351C0-0E62-494E-8EE8-12184BB788FA}">
  <sheetPr codeName="Planilha1"/>
  <dimension ref="A1:CP1"/>
  <sheetViews>
    <sheetView workbookViewId="0"/>
  </sheetViews>
  <sheetFormatPr defaultRowHeight="13.8"/>
  <sheetData>
    <row r="1" spans="1:94">
      <c r="A1" t="s">
        <v>116</v>
      </c>
      <c r="B1" t="s">
        <v>117</v>
      </c>
      <c r="C1" t="s">
        <v>118</v>
      </c>
      <c r="D1" t="s">
        <v>119</v>
      </c>
      <c r="E1" t="s">
        <v>120</v>
      </c>
      <c r="F1" t="s">
        <v>121</v>
      </c>
      <c r="G1" t="s">
        <v>122</v>
      </c>
      <c r="H1" t="s">
        <v>123</v>
      </c>
      <c r="I1" t="s">
        <v>124</v>
      </c>
      <c r="J1" t="s">
        <v>125</v>
      </c>
      <c r="K1" t="s">
        <v>126</v>
      </c>
      <c r="L1" t="s">
        <v>127</v>
      </c>
      <c r="M1" t="s">
        <v>128</v>
      </c>
      <c r="N1" t="s">
        <v>129</v>
      </c>
      <c r="O1" t="s">
        <v>130</v>
      </c>
      <c r="P1" t="s">
        <v>131</v>
      </c>
      <c r="Q1" t="s">
        <v>132</v>
      </c>
      <c r="R1" t="s">
        <v>133</v>
      </c>
      <c r="S1" t="s">
        <v>134</v>
      </c>
      <c r="T1" t="s">
        <v>135</v>
      </c>
      <c r="U1" t="s">
        <v>136</v>
      </c>
      <c r="V1" t="s">
        <v>137</v>
      </c>
      <c r="W1" t="s">
        <v>138</v>
      </c>
      <c r="X1" t="s">
        <v>139</v>
      </c>
      <c r="Y1" t="s">
        <v>140</v>
      </c>
      <c r="Z1" t="s">
        <v>141</v>
      </c>
      <c r="AA1" t="s">
        <v>142</v>
      </c>
      <c r="AB1" t="s">
        <v>143</v>
      </c>
      <c r="AC1" t="s">
        <v>144</v>
      </c>
      <c r="AD1" t="s">
        <v>145</v>
      </c>
      <c r="AE1" t="s">
        <v>146</v>
      </c>
      <c r="AF1" t="s">
        <v>147</v>
      </c>
      <c r="AG1" t="s">
        <v>148</v>
      </c>
      <c r="AH1" t="s">
        <v>149</v>
      </c>
      <c r="AI1" t="s">
        <v>150</v>
      </c>
      <c r="AJ1" t="s">
        <v>151</v>
      </c>
      <c r="AK1" t="s">
        <v>152</v>
      </c>
      <c r="AL1" t="s">
        <v>153</v>
      </c>
      <c r="AM1" t="s">
        <v>154</v>
      </c>
      <c r="AN1" t="s">
        <v>155</v>
      </c>
      <c r="AO1" t="s">
        <v>156</v>
      </c>
      <c r="AP1" t="s">
        <v>157</v>
      </c>
      <c r="AQ1" t="s">
        <v>158</v>
      </c>
      <c r="AR1" t="s">
        <v>159</v>
      </c>
      <c r="AS1" t="s">
        <v>160</v>
      </c>
      <c r="AT1" t="s">
        <v>161</v>
      </c>
      <c r="AU1" t="s">
        <v>162</v>
      </c>
      <c r="AV1" t="s">
        <v>163</v>
      </c>
      <c r="AW1" t="s">
        <v>164</v>
      </c>
      <c r="AX1" t="s">
        <v>165</v>
      </c>
      <c r="AY1" t="s">
        <v>166</v>
      </c>
      <c r="AZ1" t="s">
        <v>167</v>
      </c>
      <c r="BA1" t="s">
        <v>168</v>
      </c>
      <c r="BB1" t="s">
        <v>169</v>
      </c>
      <c r="BC1" t="s">
        <v>170</v>
      </c>
      <c r="BD1" t="s">
        <v>171</v>
      </c>
      <c r="BE1" t="s">
        <v>172</v>
      </c>
      <c r="BF1" t="s">
        <v>173</v>
      </c>
      <c r="BG1" t="s">
        <v>174</v>
      </c>
      <c r="BH1" t="s">
        <v>175</v>
      </c>
      <c r="BI1" t="s">
        <v>176</v>
      </c>
      <c r="BJ1" t="s">
        <v>177</v>
      </c>
      <c r="BK1" t="s">
        <v>178</v>
      </c>
      <c r="BL1" t="s">
        <v>179</v>
      </c>
      <c r="BM1" t="s">
        <v>180</v>
      </c>
      <c r="BN1" t="s">
        <v>181</v>
      </c>
      <c r="BO1" t="s">
        <v>182</v>
      </c>
      <c r="BP1" t="s">
        <v>183</v>
      </c>
      <c r="BQ1" t="s">
        <v>184</v>
      </c>
      <c r="BR1" t="s">
        <v>185</v>
      </c>
      <c r="BS1" t="s">
        <v>186</v>
      </c>
      <c r="BT1" t="s">
        <v>187</v>
      </c>
      <c r="BU1" t="s">
        <v>188</v>
      </c>
      <c r="BV1" t="s">
        <v>189</v>
      </c>
      <c r="BW1" t="s">
        <v>190</v>
      </c>
      <c r="BX1" t="s">
        <v>191</v>
      </c>
      <c r="BY1" t="s">
        <v>192</v>
      </c>
      <c r="BZ1" t="s">
        <v>193</v>
      </c>
      <c r="CA1" t="s">
        <v>194</v>
      </c>
      <c r="CB1" t="s">
        <v>195</v>
      </c>
      <c r="CC1" t="s">
        <v>196</v>
      </c>
      <c r="CD1" t="s">
        <v>197</v>
      </c>
      <c r="CE1" t="s">
        <v>198</v>
      </c>
      <c r="CF1" t="s">
        <v>199</v>
      </c>
      <c r="CG1" t="s">
        <v>200</v>
      </c>
      <c r="CH1" t="s">
        <v>201</v>
      </c>
      <c r="CI1" t="s">
        <v>202</v>
      </c>
      <c r="CJ1" t="s">
        <v>203</v>
      </c>
      <c r="CK1" t="s">
        <v>204</v>
      </c>
      <c r="CL1" t="s">
        <v>205</v>
      </c>
      <c r="CM1" t="s">
        <v>206</v>
      </c>
      <c r="CN1" t="s">
        <v>207</v>
      </c>
      <c r="CO1" t="s">
        <v>208</v>
      </c>
      <c r="CP1" t="s">
        <v>209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1847D-1070-4CA8-BC5D-DC7ACF9EACDB}">
  <sheetPr codeName="Planilha2"/>
  <dimension ref="A1:CP1"/>
  <sheetViews>
    <sheetView workbookViewId="0"/>
  </sheetViews>
  <sheetFormatPr defaultRowHeight="13.8"/>
  <sheetData>
    <row r="1" spans="1:94">
      <c r="A1" t="s">
        <v>210</v>
      </c>
      <c r="B1" t="s">
        <v>211</v>
      </c>
      <c r="C1" t="s">
        <v>212</v>
      </c>
      <c r="D1" t="s">
        <v>213</v>
      </c>
      <c r="E1" t="s">
        <v>214</v>
      </c>
      <c r="F1" t="s">
        <v>215</v>
      </c>
      <c r="G1" t="s">
        <v>216</v>
      </c>
      <c r="H1" t="s">
        <v>217</v>
      </c>
      <c r="I1" t="s">
        <v>218</v>
      </c>
      <c r="J1" t="s">
        <v>219</v>
      </c>
      <c r="K1" t="s">
        <v>220</v>
      </c>
      <c r="L1" t="s">
        <v>221</v>
      </c>
      <c r="M1" t="s">
        <v>118</v>
      </c>
      <c r="N1" t="s">
        <v>119</v>
      </c>
      <c r="O1" t="s">
        <v>120</v>
      </c>
      <c r="P1" t="s">
        <v>121</v>
      </c>
      <c r="Q1" t="s">
        <v>122</v>
      </c>
      <c r="R1" t="s">
        <v>123</v>
      </c>
      <c r="S1" t="s">
        <v>124</v>
      </c>
      <c r="T1" t="s">
        <v>125</v>
      </c>
      <c r="U1" t="s">
        <v>126</v>
      </c>
      <c r="V1" t="s">
        <v>127</v>
      </c>
      <c r="W1" t="s">
        <v>128</v>
      </c>
      <c r="X1" t="s">
        <v>129</v>
      </c>
      <c r="Y1" t="s">
        <v>130</v>
      </c>
      <c r="Z1" t="s">
        <v>131</v>
      </c>
      <c r="AA1" t="s">
        <v>132</v>
      </c>
      <c r="AB1" t="s">
        <v>133</v>
      </c>
      <c r="AC1" t="s">
        <v>134</v>
      </c>
      <c r="AD1" t="s">
        <v>135</v>
      </c>
      <c r="AE1" t="s">
        <v>136</v>
      </c>
      <c r="AF1" t="s">
        <v>137</v>
      </c>
      <c r="AG1" t="s">
        <v>138</v>
      </c>
      <c r="AH1" t="s">
        <v>139</v>
      </c>
      <c r="AI1" t="s">
        <v>140</v>
      </c>
      <c r="AJ1" t="s">
        <v>141</v>
      </c>
      <c r="AK1" t="s">
        <v>142</v>
      </c>
      <c r="AL1" t="s">
        <v>143</v>
      </c>
      <c r="AM1" t="s">
        <v>144</v>
      </c>
      <c r="AN1" t="s">
        <v>145</v>
      </c>
      <c r="AO1" t="s">
        <v>146</v>
      </c>
      <c r="AP1" t="s">
        <v>147</v>
      </c>
      <c r="AQ1" t="s">
        <v>148</v>
      </c>
      <c r="AR1" t="s">
        <v>149</v>
      </c>
      <c r="AS1" t="s">
        <v>150</v>
      </c>
      <c r="AT1" t="s">
        <v>151</v>
      </c>
      <c r="AU1" t="s">
        <v>152</v>
      </c>
      <c r="AV1" t="s">
        <v>153</v>
      </c>
      <c r="AW1" t="s">
        <v>154</v>
      </c>
      <c r="AX1" t="s">
        <v>155</v>
      </c>
      <c r="AY1" t="s">
        <v>156</v>
      </c>
      <c r="AZ1" t="s">
        <v>157</v>
      </c>
      <c r="BA1" t="s">
        <v>158</v>
      </c>
      <c r="BB1" t="s">
        <v>159</v>
      </c>
      <c r="BC1" t="s">
        <v>160</v>
      </c>
      <c r="BD1" t="s">
        <v>161</v>
      </c>
      <c r="BE1" t="s">
        <v>162</v>
      </c>
      <c r="BF1" t="s">
        <v>163</v>
      </c>
      <c r="BG1" t="s">
        <v>164</v>
      </c>
      <c r="BH1" t="s">
        <v>165</v>
      </c>
      <c r="BI1" t="s">
        <v>166</v>
      </c>
      <c r="BJ1" t="s">
        <v>167</v>
      </c>
      <c r="BK1" t="s">
        <v>168</v>
      </c>
      <c r="BL1" t="s">
        <v>169</v>
      </c>
      <c r="BM1" t="s">
        <v>170</v>
      </c>
      <c r="BN1" t="s">
        <v>171</v>
      </c>
      <c r="BO1" t="s">
        <v>172</v>
      </c>
      <c r="BP1" t="s">
        <v>173</v>
      </c>
      <c r="BQ1" t="s">
        <v>174</v>
      </c>
      <c r="BR1" t="s">
        <v>175</v>
      </c>
      <c r="BS1" t="s">
        <v>176</v>
      </c>
      <c r="BT1" t="s">
        <v>177</v>
      </c>
      <c r="BU1" t="s">
        <v>178</v>
      </c>
      <c r="BV1" t="s">
        <v>179</v>
      </c>
      <c r="BW1" t="s">
        <v>180</v>
      </c>
      <c r="BX1" t="s">
        <v>181</v>
      </c>
      <c r="BY1" t="s">
        <v>182</v>
      </c>
      <c r="BZ1" t="s">
        <v>183</v>
      </c>
      <c r="CA1" t="s">
        <v>184</v>
      </c>
      <c r="CB1" t="s">
        <v>185</v>
      </c>
      <c r="CC1" t="s">
        <v>186</v>
      </c>
      <c r="CD1" t="s">
        <v>187</v>
      </c>
      <c r="CE1" t="s">
        <v>188</v>
      </c>
      <c r="CF1" t="s">
        <v>189</v>
      </c>
      <c r="CG1" t="s">
        <v>190</v>
      </c>
      <c r="CH1" t="s">
        <v>191</v>
      </c>
      <c r="CI1" t="s">
        <v>192</v>
      </c>
      <c r="CJ1" t="s">
        <v>193</v>
      </c>
      <c r="CK1" t="s">
        <v>194</v>
      </c>
      <c r="CL1" t="s">
        <v>195</v>
      </c>
      <c r="CM1" t="s">
        <v>196</v>
      </c>
      <c r="CN1" t="s">
        <v>197</v>
      </c>
      <c r="CO1" t="s">
        <v>222</v>
      </c>
      <c r="CP1" t="s">
        <v>223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3C9EF-2FDC-4C36-991D-3ED8A24386FC}">
  <sheetPr codeName="Planilha3">
    <pageSetUpPr fitToPage="1"/>
  </sheetPr>
  <dimension ref="A1:AG88"/>
  <sheetViews>
    <sheetView showGridLines="0" showRowColHeaders="0" tabSelected="1" view="pageBreakPreview" zoomScale="70" zoomScaleNormal="80" zoomScaleSheetLayoutView="70" workbookViewId="0">
      <selection activeCell="K23" sqref="K2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9" defaultRowHeight="13.2"/>
  <cols>
    <col min="1" max="1" width="3.59765625" style="4" customWidth="1"/>
    <col min="2" max="13" width="16.3984375" style="4" customWidth="1"/>
    <col min="14" max="14" width="3.59765625" style="4" customWidth="1"/>
    <col min="15" max="15" width="9" style="4"/>
    <col min="16" max="16" width="10.09765625" style="4" customWidth="1"/>
    <col min="17" max="26" width="9" style="27"/>
    <col min="27" max="27" width="9.8984375" style="27" customWidth="1"/>
    <col min="28" max="30" width="9" style="27"/>
    <col min="31" max="31" width="8" style="27" customWidth="1"/>
    <col min="32" max="33" width="9" style="27"/>
    <col min="34" max="16384" width="9" style="4"/>
  </cols>
  <sheetData>
    <row r="1" spans="1:33" ht="19.5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</row>
    <row r="2" spans="1:33" ht="15" customHeight="1">
      <c r="A2" s="5"/>
      <c r="B2" s="47"/>
      <c r="C2" s="48"/>
      <c r="D2" s="48"/>
      <c r="E2" s="310" t="s">
        <v>0</v>
      </c>
      <c r="F2" s="310"/>
      <c r="G2" s="310"/>
      <c r="H2" s="310"/>
      <c r="I2" s="310"/>
      <c r="J2" s="311"/>
      <c r="K2" s="203" t="s">
        <v>1</v>
      </c>
      <c r="L2" s="309"/>
      <c r="M2" s="309"/>
      <c r="N2" s="6"/>
      <c r="O2" s="7"/>
    </row>
    <row r="3" spans="1:33" ht="15" customHeight="1">
      <c r="A3" s="5"/>
      <c r="B3" s="49"/>
      <c r="C3" s="50"/>
      <c r="D3" s="50"/>
      <c r="E3" s="312"/>
      <c r="F3" s="312"/>
      <c r="G3" s="312"/>
      <c r="H3" s="312"/>
      <c r="I3" s="312"/>
      <c r="J3" s="313"/>
      <c r="K3" s="203" t="s">
        <v>2</v>
      </c>
      <c r="L3" s="309"/>
      <c r="M3" s="309"/>
      <c r="N3" s="6"/>
      <c r="O3" s="7"/>
    </row>
    <row r="4" spans="1:33" ht="15.75" customHeight="1">
      <c r="A4" s="5"/>
      <c r="B4" s="49"/>
      <c r="C4" s="50"/>
      <c r="D4" s="50"/>
      <c r="E4" s="312"/>
      <c r="F4" s="312"/>
      <c r="G4" s="312"/>
      <c r="H4" s="312"/>
      <c r="I4" s="312"/>
      <c r="J4" s="313"/>
      <c r="K4" s="203" t="s">
        <v>3</v>
      </c>
      <c r="L4" s="309"/>
      <c r="M4" s="309"/>
      <c r="N4" s="6"/>
      <c r="R4" s="8"/>
      <c r="S4" s="8"/>
      <c r="AE4" s="9"/>
    </row>
    <row r="5" spans="1:33" ht="15.6" customHeight="1">
      <c r="A5" s="5"/>
      <c r="B5" s="51"/>
      <c r="C5" s="52"/>
      <c r="D5" s="52"/>
      <c r="E5" s="314"/>
      <c r="F5" s="314"/>
      <c r="G5" s="314"/>
      <c r="H5" s="314"/>
      <c r="I5" s="314"/>
      <c r="J5" s="315"/>
      <c r="K5" s="203" t="s">
        <v>4</v>
      </c>
      <c r="L5" s="309"/>
      <c r="M5" s="309"/>
      <c r="N5" s="6"/>
      <c r="P5" s="10"/>
      <c r="R5" s="208"/>
      <c r="S5" s="209"/>
      <c r="AE5" s="9"/>
    </row>
    <row r="6" spans="1:33" s="13" customFormat="1" ht="15.9" customHeight="1">
      <c r="A6" s="11"/>
      <c r="B6" s="292" t="s">
        <v>5</v>
      </c>
      <c r="C6" s="292"/>
      <c r="D6" s="306" t="s">
        <v>6</v>
      </c>
      <c r="E6" s="307"/>
      <c r="F6" s="307"/>
      <c r="G6" s="307"/>
      <c r="H6" s="306" t="s">
        <v>7</v>
      </c>
      <c r="I6" s="316"/>
      <c r="J6" s="204" t="s">
        <v>112</v>
      </c>
      <c r="K6" s="204" t="s">
        <v>113</v>
      </c>
      <c r="L6" s="292" t="s">
        <v>8</v>
      </c>
      <c r="M6" s="292"/>
      <c r="N6" s="12"/>
      <c r="AA6" s="20"/>
      <c r="AB6" s="20"/>
      <c r="AC6" s="20"/>
      <c r="AD6" s="20"/>
      <c r="AE6" s="9"/>
      <c r="AF6" s="20"/>
      <c r="AG6" s="20"/>
    </row>
    <row r="7" spans="1:33" s="13" customFormat="1" ht="24.9" customHeight="1">
      <c r="A7" s="11"/>
      <c r="B7" s="301" t="s">
        <v>10</v>
      </c>
      <c r="C7" s="301"/>
      <c r="D7" s="317"/>
      <c r="E7" s="319"/>
      <c r="F7" s="319"/>
      <c r="G7" s="319"/>
      <c r="H7" s="317"/>
      <c r="I7" s="318"/>
      <c r="J7" s="205"/>
      <c r="K7" s="205">
        <v>1</v>
      </c>
      <c r="L7" s="308">
        <v>0.4861111111111111</v>
      </c>
      <c r="M7" s="308"/>
      <c r="N7" s="14"/>
      <c r="AA7" s="20"/>
      <c r="AB7" s="20"/>
      <c r="AC7" s="20"/>
      <c r="AD7" s="20"/>
      <c r="AE7" s="9"/>
      <c r="AF7" s="20"/>
      <c r="AG7" s="20"/>
    </row>
    <row r="8" spans="1:33" s="13" customFormat="1" ht="15.9" customHeight="1">
      <c r="A8" s="11"/>
      <c r="B8" s="292" t="s">
        <v>12</v>
      </c>
      <c r="C8" s="292"/>
      <c r="D8" s="306" t="s">
        <v>13</v>
      </c>
      <c r="E8" s="307"/>
      <c r="F8" s="292" t="s">
        <v>14</v>
      </c>
      <c r="G8" s="292"/>
      <c r="H8" s="305" t="s">
        <v>15</v>
      </c>
      <c r="I8" s="305"/>
      <c r="J8" s="292" t="s">
        <v>115</v>
      </c>
      <c r="K8" s="292"/>
      <c r="L8" s="292" t="s">
        <v>114</v>
      </c>
      <c r="M8" s="292"/>
      <c r="N8" s="12"/>
      <c r="AA8" s="20"/>
      <c r="AB8" s="20"/>
      <c r="AC8" s="20"/>
      <c r="AD8" s="20"/>
      <c r="AE8" s="9"/>
      <c r="AF8" s="20"/>
      <c r="AG8" s="20"/>
    </row>
    <row r="9" spans="1:33" s="13" customFormat="1" ht="24.9" customHeight="1">
      <c r="A9" s="11"/>
      <c r="B9" s="301" t="s">
        <v>17</v>
      </c>
      <c r="C9" s="301"/>
      <c r="D9" s="303" t="s">
        <v>18</v>
      </c>
      <c r="E9" s="304"/>
      <c r="F9" s="298" t="s">
        <v>19</v>
      </c>
      <c r="G9" s="300"/>
      <c r="H9" s="298" t="s">
        <v>20</v>
      </c>
      <c r="I9" s="300"/>
      <c r="J9" s="302">
        <v>45817</v>
      </c>
      <c r="K9" s="302"/>
      <c r="L9" s="302">
        <v>45818</v>
      </c>
      <c r="M9" s="302"/>
      <c r="N9" s="15"/>
      <c r="P9" s="16"/>
      <c r="AA9" s="20"/>
      <c r="AB9" s="20"/>
      <c r="AC9" s="20"/>
      <c r="AD9" s="20"/>
      <c r="AE9" s="9"/>
      <c r="AF9" s="20"/>
      <c r="AG9" s="20"/>
    </row>
    <row r="10" spans="1:33" s="13" customFormat="1" ht="15.9" customHeight="1">
      <c r="A10" s="11"/>
      <c r="B10" s="291" t="s">
        <v>21</v>
      </c>
      <c r="C10" s="291"/>
      <c r="D10" s="292" t="s">
        <v>22</v>
      </c>
      <c r="E10" s="292"/>
      <c r="F10" s="292"/>
      <c r="G10" s="292" t="s">
        <v>23</v>
      </c>
      <c r="H10" s="292"/>
      <c r="I10" s="292" t="s">
        <v>24</v>
      </c>
      <c r="J10" s="292"/>
      <c r="K10" s="292"/>
      <c r="L10" s="291" t="s">
        <v>25</v>
      </c>
      <c r="M10" s="291"/>
      <c r="N10" s="17"/>
      <c r="AA10" s="20"/>
      <c r="AB10" s="20"/>
      <c r="AC10" s="20"/>
      <c r="AD10" s="20"/>
      <c r="AE10" s="9"/>
      <c r="AF10" s="20"/>
      <c r="AG10" s="20"/>
    </row>
    <row r="11" spans="1:33" s="13" customFormat="1" ht="24.9" customHeight="1">
      <c r="A11" s="11"/>
      <c r="B11" s="293" t="s">
        <v>26</v>
      </c>
      <c r="C11" s="294"/>
      <c r="D11" s="295" t="s">
        <v>37</v>
      </c>
      <c r="E11" s="295"/>
      <c r="F11" s="295"/>
      <c r="G11" s="296" t="s">
        <v>27</v>
      </c>
      <c r="H11" s="297"/>
      <c r="I11" s="298" t="s">
        <v>28</v>
      </c>
      <c r="J11" s="299"/>
      <c r="K11" s="300"/>
      <c r="L11" s="298" t="s">
        <v>29</v>
      </c>
      <c r="M11" s="300"/>
      <c r="N11" s="18"/>
      <c r="AA11" s="20"/>
      <c r="AB11" s="20"/>
      <c r="AC11" s="20"/>
      <c r="AD11" s="20"/>
      <c r="AE11" s="9"/>
      <c r="AF11" s="20"/>
      <c r="AG11" s="20"/>
    </row>
    <row r="12" spans="1:33" s="13" customFormat="1" ht="13.5" customHeight="1">
      <c r="A12" s="11"/>
      <c r="B12" s="280" t="s">
        <v>33</v>
      </c>
      <c r="C12" s="280"/>
      <c r="D12" s="281" t="s">
        <v>34</v>
      </c>
      <c r="E12" s="282"/>
      <c r="F12" s="283">
        <f>IF(M17="","",M17)</f>
        <v>1181.8</v>
      </c>
      <c r="G12" s="284" t="s">
        <v>35</v>
      </c>
      <c r="H12" s="284"/>
      <c r="I12" s="285" t="s">
        <v>36</v>
      </c>
      <c r="J12" s="286"/>
      <c r="K12" s="284" t="s">
        <v>11</v>
      </c>
      <c r="L12" s="284"/>
      <c r="M12" s="284"/>
      <c r="N12" s="19"/>
      <c r="P12" s="20"/>
      <c r="AA12" s="20"/>
      <c r="AB12" s="20"/>
      <c r="AC12" s="20"/>
      <c r="AD12" s="20"/>
      <c r="AE12" s="9"/>
      <c r="AF12" s="20"/>
      <c r="AG12" s="20"/>
    </row>
    <row r="13" spans="1:33" s="13" customFormat="1" ht="13.5" customHeight="1">
      <c r="A13" s="11"/>
      <c r="B13" s="280"/>
      <c r="C13" s="280"/>
      <c r="D13" s="287" t="s">
        <v>37</v>
      </c>
      <c r="E13" s="288"/>
      <c r="F13" s="283"/>
      <c r="G13" s="284"/>
      <c r="H13" s="284"/>
      <c r="I13" s="289" t="s">
        <v>110</v>
      </c>
      <c r="J13" s="290"/>
      <c r="K13" s="284"/>
      <c r="L13" s="284"/>
      <c r="M13" s="284"/>
      <c r="N13" s="19"/>
      <c r="P13" s="20"/>
      <c r="AA13" s="20"/>
      <c r="AB13" s="20"/>
      <c r="AC13" s="20"/>
      <c r="AD13" s="20"/>
      <c r="AE13" s="9"/>
      <c r="AF13" s="20"/>
      <c r="AG13" s="20"/>
    </row>
    <row r="14" spans="1:33" s="13" customFormat="1" ht="17.25" customHeight="1">
      <c r="A14" s="11"/>
      <c r="B14" s="54" t="s">
        <v>39</v>
      </c>
      <c r="C14" s="55" t="s">
        <v>40</v>
      </c>
      <c r="D14" s="55" t="s">
        <v>41</v>
      </c>
      <c r="E14" s="55" t="s">
        <v>42</v>
      </c>
      <c r="F14" s="55" t="s">
        <v>43</v>
      </c>
      <c r="G14" s="56" t="s">
        <v>44</v>
      </c>
      <c r="H14" s="56" t="s">
        <v>45</v>
      </c>
      <c r="I14" s="53" t="s">
        <v>44</v>
      </c>
      <c r="J14" s="53" t="s">
        <v>45</v>
      </c>
      <c r="K14" s="284"/>
      <c r="L14" s="284"/>
      <c r="M14" s="284"/>
      <c r="N14" s="19"/>
      <c r="P14" s="20"/>
      <c r="AA14" s="20"/>
      <c r="AB14" s="20"/>
      <c r="AC14" s="20"/>
      <c r="AD14" s="20"/>
      <c r="AE14" s="9"/>
      <c r="AF14" s="20"/>
      <c r="AG14" s="20"/>
    </row>
    <row r="15" spans="1:33" s="13" customFormat="1" ht="21.9" customHeight="1">
      <c r="A15" s="11"/>
      <c r="B15" s="57" t="s">
        <v>111</v>
      </c>
      <c r="C15" s="58">
        <v>25.4</v>
      </c>
      <c r="D15" s="59">
        <v>0</v>
      </c>
      <c r="E15" s="60">
        <f>IF(D15="","",M17-D15)</f>
        <v>1181.8</v>
      </c>
      <c r="F15" s="61">
        <f t="shared" ref="F15:F21" si="0">IFERROR((E15/$F$12)*100,"")</f>
        <v>100</v>
      </c>
      <c r="G15" s="62">
        <v>100</v>
      </c>
      <c r="H15" s="62">
        <v>100</v>
      </c>
      <c r="I15" s="60">
        <v>100</v>
      </c>
      <c r="J15" s="60">
        <v>100</v>
      </c>
      <c r="K15" s="271" t="s">
        <v>49</v>
      </c>
      <c r="L15" s="271"/>
      <c r="M15" s="63">
        <v>173</v>
      </c>
      <c r="N15" s="21"/>
      <c r="P15" s="20"/>
      <c r="AA15" s="20"/>
      <c r="AB15" s="20"/>
      <c r="AC15" s="20"/>
      <c r="AD15" s="20"/>
      <c r="AE15" s="9"/>
      <c r="AF15" s="20"/>
      <c r="AG15" s="20"/>
    </row>
    <row r="16" spans="1:33" s="13" customFormat="1" ht="21.9" customHeight="1">
      <c r="A16" s="11"/>
      <c r="B16" s="57" t="s">
        <v>38</v>
      </c>
      <c r="C16" s="58">
        <v>19.100000000000001</v>
      </c>
      <c r="D16" s="59">
        <v>0</v>
      </c>
      <c r="E16" s="60">
        <f>IF(D16="","",E15-D16)</f>
        <v>1181.8</v>
      </c>
      <c r="F16" s="61">
        <f t="shared" si="0"/>
        <v>100</v>
      </c>
      <c r="G16" s="62">
        <v>92.86</v>
      </c>
      <c r="H16" s="62">
        <v>100</v>
      </c>
      <c r="I16" s="60">
        <v>90</v>
      </c>
      <c r="J16" s="60">
        <v>100</v>
      </c>
      <c r="K16" s="271" t="s">
        <v>51</v>
      </c>
      <c r="L16" s="271"/>
      <c r="M16" s="64">
        <v>1241.9000000000001</v>
      </c>
      <c r="N16" s="21"/>
      <c r="P16" s="22"/>
      <c r="AA16" s="20"/>
      <c r="AB16" s="20"/>
      <c r="AC16" s="20"/>
      <c r="AD16" s="20"/>
      <c r="AE16" s="9"/>
      <c r="AF16" s="20"/>
      <c r="AG16" s="20"/>
    </row>
    <row r="17" spans="1:33" s="13" customFormat="1" ht="21.9" customHeight="1">
      <c r="A17" s="11"/>
      <c r="B17" s="57" t="s">
        <v>50</v>
      </c>
      <c r="C17" s="58">
        <v>9.5</v>
      </c>
      <c r="D17" s="59">
        <v>341.5</v>
      </c>
      <c r="E17" s="60">
        <f t="shared" ref="E17:E19" si="1">IF(D17="","",E16-D17)</f>
        <v>840.3</v>
      </c>
      <c r="F17" s="61">
        <f t="shared" si="0"/>
        <v>71.103401590793709</v>
      </c>
      <c r="G17" s="62">
        <v>66.48</v>
      </c>
      <c r="H17" s="62">
        <v>80</v>
      </c>
      <c r="I17" s="60">
        <v>56</v>
      </c>
      <c r="J17" s="60">
        <v>80</v>
      </c>
      <c r="K17" s="269" t="s">
        <v>53</v>
      </c>
      <c r="L17" s="270"/>
      <c r="M17" s="64">
        <v>1181.8</v>
      </c>
      <c r="N17" s="21"/>
      <c r="AA17" s="20"/>
      <c r="AB17" s="20"/>
      <c r="AC17" s="20"/>
      <c r="AD17" s="20"/>
      <c r="AE17" s="9"/>
      <c r="AF17" s="20"/>
      <c r="AG17" s="20"/>
    </row>
    <row r="18" spans="1:33" s="13" customFormat="1" ht="21.9" customHeight="1">
      <c r="A18" s="11"/>
      <c r="B18" s="54" t="s">
        <v>52</v>
      </c>
      <c r="C18" s="58">
        <v>4.75</v>
      </c>
      <c r="D18" s="59">
        <v>159.4</v>
      </c>
      <c r="E18" s="60">
        <f t="shared" si="1"/>
        <v>680.9</v>
      </c>
      <c r="F18" s="61">
        <f t="shared" si="0"/>
        <v>57.615501776950417</v>
      </c>
      <c r="G18" s="62">
        <v>50.11</v>
      </c>
      <c r="H18" s="62">
        <v>60.11</v>
      </c>
      <c r="I18" s="60">
        <v>35</v>
      </c>
      <c r="J18" s="60">
        <v>65</v>
      </c>
      <c r="K18" s="269" t="s">
        <v>55</v>
      </c>
      <c r="L18" s="270"/>
      <c r="M18" s="65">
        <f>IF(M16="","",M16-M17)</f>
        <v>60.100000000000136</v>
      </c>
      <c r="N18" s="21"/>
      <c r="P18" s="20"/>
      <c r="AA18" s="20"/>
      <c r="AB18" s="20"/>
      <c r="AC18" s="20"/>
      <c r="AD18" s="20"/>
      <c r="AE18" s="9"/>
      <c r="AF18" s="20"/>
      <c r="AG18" s="20"/>
    </row>
    <row r="19" spans="1:33" s="13" customFormat="1" ht="21.9" customHeight="1">
      <c r="A19" s="11"/>
      <c r="B19" s="54" t="s">
        <v>54</v>
      </c>
      <c r="C19" s="58">
        <v>2</v>
      </c>
      <c r="D19" s="59">
        <v>280.60000000000002</v>
      </c>
      <c r="E19" s="60">
        <f t="shared" si="1"/>
        <v>400.29999999999995</v>
      </c>
      <c r="F19" s="61">
        <f t="shared" si="0"/>
        <v>33.872059570147229</v>
      </c>
      <c r="G19" s="62">
        <v>29.07</v>
      </c>
      <c r="H19" s="62">
        <v>39.07</v>
      </c>
      <c r="I19" s="60">
        <v>22</v>
      </c>
      <c r="J19" s="60">
        <v>46</v>
      </c>
      <c r="K19" s="269" t="s">
        <v>57</v>
      </c>
      <c r="L19" s="270"/>
      <c r="M19" s="66">
        <f>IFERROR(M18/M16%," ")</f>
        <v>4.8393590466221221</v>
      </c>
      <c r="N19" s="23"/>
      <c r="P19" s="20"/>
      <c r="AA19" s="20"/>
      <c r="AB19" s="20"/>
      <c r="AC19" s="20"/>
      <c r="AD19" s="20"/>
      <c r="AE19" s="9"/>
      <c r="AF19" s="20"/>
      <c r="AG19" s="20"/>
    </row>
    <row r="20" spans="1:33" s="13" customFormat="1" ht="21.9" customHeight="1">
      <c r="A20" s="11"/>
      <c r="B20" s="54" t="s">
        <v>56</v>
      </c>
      <c r="C20" s="58">
        <v>0.42</v>
      </c>
      <c r="D20" s="59">
        <v>223.7</v>
      </c>
      <c r="E20" s="60">
        <f>IF(D20="","",E19-D20)</f>
        <v>176.59999999999997</v>
      </c>
      <c r="F20" s="61">
        <f t="shared" si="0"/>
        <v>14.943306820104924</v>
      </c>
      <c r="G20" s="62">
        <v>8</v>
      </c>
      <c r="H20" s="62">
        <v>17.149999999999999</v>
      </c>
      <c r="I20" s="60">
        <v>8</v>
      </c>
      <c r="J20" s="60">
        <v>24</v>
      </c>
      <c r="K20" s="271" t="s">
        <v>59</v>
      </c>
      <c r="L20" s="271"/>
      <c r="M20" s="67">
        <v>1.07</v>
      </c>
      <c r="N20" s="24"/>
      <c r="P20" s="20"/>
      <c r="AA20" s="20"/>
      <c r="AB20" s="20"/>
      <c r="AC20" s="20"/>
      <c r="AD20" s="20"/>
      <c r="AE20" s="9"/>
      <c r="AF20" s="20"/>
      <c r="AG20" s="20"/>
    </row>
    <row r="21" spans="1:33" s="13" customFormat="1" ht="21.9" customHeight="1">
      <c r="A21" s="11"/>
      <c r="B21" s="54" t="s">
        <v>60</v>
      </c>
      <c r="C21" s="58">
        <v>7.4999999999999997E-2</v>
      </c>
      <c r="D21" s="59">
        <v>103.6</v>
      </c>
      <c r="E21" s="60">
        <f t="shared" ref="E21:E22" si="2">IF(D21="","",E20-D21)</f>
        <v>72.999999999999972</v>
      </c>
      <c r="F21" s="61">
        <f t="shared" si="0"/>
        <v>6.1770181079708903</v>
      </c>
      <c r="G21" s="62">
        <v>4.38</v>
      </c>
      <c r="H21" s="62">
        <v>8</v>
      </c>
      <c r="I21" s="60">
        <v>2</v>
      </c>
      <c r="J21" s="60">
        <v>8</v>
      </c>
      <c r="K21" s="269" t="s">
        <v>57</v>
      </c>
      <c r="L21" s="270"/>
      <c r="M21" s="67">
        <f>IFERROR(M19*M20," ")</f>
        <v>5.1781141798856707</v>
      </c>
      <c r="N21" s="25"/>
      <c r="P21" s="20"/>
      <c r="AA21" s="20"/>
      <c r="AB21" s="20"/>
      <c r="AC21" s="20"/>
      <c r="AD21" s="20"/>
      <c r="AE21" s="9"/>
      <c r="AF21" s="20"/>
      <c r="AG21" s="20"/>
    </row>
    <row r="22" spans="1:33" s="13" customFormat="1" ht="21.9" customHeight="1">
      <c r="A22" s="11"/>
      <c r="B22" s="54"/>
      <c r="C22" s="58"/>
      <c r="D22" s="59"/>
      <c r="E22" s="60" t="str">
        <f t="shared" si="2"/>
        <v/>
      </c>
      <c r="F22" s="61" t="str">
        <f t="shared" ref="F22:F34" si="3">IFERROR((E22/$F$12)*100,"")</f>
        <v/>
      </c>
      <c r="G22" s="62"/>
      <c r="H22" s="62"/>
      <c r="I22" s="60"/>
      <c r="J22" s="60"/>
      <c r="K22" s="271" t="s">
        <v>62</v>
      </c>
      <c r="L22" s="271"/>
      <c r="M22" s="67">
        <f>IF(Y67="","",(Y67*(100-M68))/(100*M68))</f>
        <v>1.1311386450650391</v>
      </c>
      <c r="N22" s="25"/>
      <c r="P22" s="20"/>
      <c r="AA22" s="20"/>
      <c r="AB22" s="20"/>
      <c r="AC22" s="20"/>
      <c r="AD22" s="20"/>
      <c r="AE22" s="9"/>
      <c r="AF22" s="20"/>
      <c r="AG22" s="20"/>
    </row>
    <row r="23" spans="1:33" s="13" customFormat="1" ht="21.9" customHeight="1">
      <c r="A23" s="11"/>
      <c r="B23" s="54"/>
      <c r="C23" s="58"/>
      <c r="D23" s="59"/>
      <c r="E23" s="60" t="str">
        <f t="shared" ref="E23:E34" si="4">IF(D23="","",E22-D23)</f>
        <v/>
      </c>
      <c r="F23" s="61" t="str">
        <f t="shared" si="3"/>
        <v/>
      </c>
      <c r="G23" s="62"/>
      <c r="H23" s="62"/>
      <c r="I23" s="60"/>
      <c r="J23" s="60"/>
      <c r="K23" s="73"/>
      <c r="L23" s="74"/>
      <c r="M23" s="75"/>
      <c r="N23" s="25"/>
      <c r="P23" s="20"/>
      <c r="AA23" s="20"/>
      <c r="AB23" s="20"/>
      <c r="AC23" s="20"/>
      <c r="AD23" s="20"/>
      <c r="AE23" s="9"/>
      <c r="AF23" s="20"/>
      <c r="AG23" s="20"/>
    </row>
    <row r="24" spans="1:33" s="13" customFormat="1" ht="21.9" customHeight="1">
      <c r="A24" s="11"/>
      <c r="B24" s="54"/>
      <c r="C24" s="58"/>
      <c r="D24" s="59"/>
      <c r="E24" s="60" t="str">
        <f t="shared" si="4"/>
        <v/>
      </c>
      <c r="F24" s="61" t="str">
        <f t="shared" si="3"/>
        <v/>
      </c>
      <c r="G24" s="62"/>
      <c r="H24" s="62"/>
      <c r="I24" s="60"/>
      <c r="J24" s="60"/>
      <c r="K24" s="73"/>
      <c r="L24" s="74"/>
      <c r="M24" s="75"/>
      <c r="N24" s="25"/>
      <c r="P24" s="20"/>
      <c r="AA24" s="20"/>
      <c r="AB24" s="20"/>
      <c r="AC24" s="20"/>
      <c r="AD24" s="20"/>
      <c r="AE24" s="9"/>
      <c r="AF24" s="20"/>
      <c r="AG24" s="20"/>
    </row>
    <row r="25" spans="1:33" s="13" customFormat="1" ht="21.9" customHeight="1">
      <c r="A25" s="11"/>
      <c r="B25" s="54"/>
      <c r="C25" s="58"/>
      <c r="D25" s="59"/>
      <c r="E25" s="60" t="str">
        <f t="shared" si="4"/>
        <v/>
      </c>
      <c r="F25" s="61" t="str">
        <f t="shared" si="3"/>
        <v/>
      </c>
      <c r="G25" s="62"/>
      <c r="H25" s="62"/>
      <c r="I25" s="60"/>
      <c r="J25" s="60"/>
      <c r="K25" s="73"/>
      <c r="L25" s="74"/>
      <c r="M25" s="75"/>
      <c r="N25" s="25"/>
      <c r="P25" s="20"/>
      <c r="AA25" s="20"/>
      <c r="AB25" s="20"/>
      <c r="AC25" s="20"/>
      <c r="AD25" s="20"/>
      <c r="AE25" s="9"/>
      <c r="AF25" s="20"/>
      <c r="AG25" s="20"/>
    </row>
    <row r="26" spans="1:33" s="13" customFormat="1" ht="21.9" customHeight="1">
      <c r="A26" s="11"/>
      <c r="B26" s="54"/>
      <c r="C26" s="58"/>
      <c r="D26" s="59"/>
      <c r="E26" s="60" t="str">
        <f t="shared" si="4"/>
        <v/>
      </c>
      <c r="F26" s="61" t="str">
        <f t="shared" si="3"/>
        <v/>
      </c>
      <c r="G26" s="62"/>
      <c r="H26" s="62"/>
      <c r="I26" s="60"/>
      <c r="J26" s="60"/>
      <c r="K26" s="73"/>
      <c r="L26" s="74"/>
      <c r="M26" s="75"/>
      <c r="N26" s="25"/>
      <c r="P26" s="20"/>
      <c r="AA26" s="20"/>
      <c r="AB26" s="20"/>
      <c r="AC26" s="20"/>
      <c r="AD26" s="20"/>
      <c r="AE26" s="9"/>
      <c r="AF26" s="20"/>
      <c r="AG26" s="20"/>
    </row>
    <row r="27" spans="1:33" s="13" customFormat="1" ht="21.9" customHeight="1">
      <c r="A27" s="11"/>
      <c r="B27" s="54"/>
      <c r="C27" s="58"/>
      <c r="D27" s="59"/>
      <c r="E27" s="60" t="str">
        <f t="shared" si="4"/>
        <v/>
      </c>
      <c r="F27" s="61" t="str">
        <f t="shared" si="3"/>
        <v/>
      </c>
      <c r="G27" s="62"/>
      <c r="H27" s="62"/>
      <c r="I27" s="60"/>
      <c r="J27" s="60"/>
      <c r="K27" s="73"/>
      <c r="L27" s="74"/>
      <c r="M27" s="75"/>
      <c r="N27" s="25"/>
      <c r="P27" s="20"/>
      <c r="AA27" s="20"/>
      <c r="AB27" s="20"/>
      <c r="AC27" s="20"/>
      <c r="AD27" s="20"/>
      <c r="AE27" s="9"/>
      <c r="AF27" s="20"/>
      <c r="AG27" s="20"/>
    </row>
    <row r="28" spans="1:33" s="13" customFormat="1" ht="21.9" customHeight="1">
      <c r="A28" s="11"/>
      <c r="B28" s="54"/>
      <c r="C28" s="58"/>
      <c r="D28" s="59"/>
      <c r="E28" s="60" t="str">
        <f t="shared" si="4"/>
        <v/>
      </c>
      <c r="F28" s="61" t="str">
        <f t="shared" si="3"/>
        <v/>
      </c>
      <c r="G28" s="62"/>
      <c r="H28" s="62"/>
      <c r="I28" s="60"/>
      <c r="J28" s="60"/>
      <c r="K28" s="73"/>
      <c r="L28" s="74"/>
      <c r="M28" s="75"/>
      <c r="N28" s="25"/>
      <c r="P28" s="20"/>
      <c r="AA28" s="20"/>
      <c r="AB28" s="20"/>
      <c r="AC28" s="20"/>
      <c r="AD28" s="20"/>
      <c r="AE28" s="9"/>
      <c r="AF28" s="20"/>
      <c r="AG28" s="20"/>
    </row>
    <row r="29" spans="1:33" s="13" customFormat="1" ht="21.9" customHeight="1">
      <c r="A29" s="11"/>
      <c r="B29" s="54"/>
      <c r="C29" s="58"/>
      <c r="D29" s="59"/>
      <c r="E29" s="60" t="str">
        <f t="shared" si="4"/>
        <v/>
      </c>
      <c r="F29" s="61" t="str">
        <f t="shared" si="3"/>
        <v/>
      </c>
      <c r="G29" s="62"/>
      <c r="H29" s="62"/>
      <c r="I29" s="60"/>
      <c r="J29" s="60"/>
      <c r="K29" s="73"/>
      <c r="L29" s="74"/>
      <c r="M29" s="75"/>
      <c r="N29" s="25"/>
      <c r="P29" s="20"/>
      <c r="AA29" s="20"/>
      <c r="AB29" s="20"/>
      <c r="AC29" s="20"/>
      <c r="AD29" s="20"/>
      <c r="AE29" s="9"/>
      <c r="AF29" s="20"/>
      <c r="AG29" s="20"/>
    </row>
    <row r="30" spans="1:33" s="13" customFormat="1" ht="21.9" customHeight="1">
      <c r="A30" s="11"/>
      <c r="B30" s="54"/>
      <c r="C30" s="58"/>
      <c r="D30" s="59"/>
      <c r="E30" s="60" t="str">
        <f t="shared" si="4"/>
        <v/>
      </c>
      <c r="F30" s="61" t="str">
        <f t="shared" si="3"/>
        <v/>
      </c>
      <c r="G30" s="62"/>
      <c r="H30" s="62"/>
      <c r="I30" s="60"/>
      <c r="J30" s="60"/>
      <c r="K30" s="73"/>
      <c r="L30" s="74"/>
      <c r="M30" s="75"/>
      <c r="N30" s="25"/>
      <c r="P30" s="20"/>
      <c r="AA30" s="20"/>
      <c r="AB30" s="20"/>
      <c r="AC30" s="20"/>
      <c r="AD30" s="20"/>
      <c r="AE30" s="9"/>
      <c r="AF30" s="20"/>
      <c r="AG30" s="20"/>
    </row>
    <row r="31" spans="1:33" s="13" customFormat="1" ht="21.9" customHeight="1">
      <c r="A31" s="11"/>
      <c r="B31" s="54"/>
      <c r="C31" s="58"/>
      <c r="D31" s="59"/>
      <c r="E31" s="60" t="str">
        <f t="shared" si="4"/>
        <v/>
      </c>
      <c r="F31" s="61" t="str">
        <f t="shared" si="3"/>
        <v/>
      </c>
      <c r="G31" s="62"/>
      <c r="H31" s="62"/>
      <c r="I31" s="60"/>
      <c r="J31" s="60"/>
      <c r="K31" s="73"/>
      <c r="L31" s="74"/>
      <c r="M31" s="75"/>
      <c r="N31" s="25"/>
      <c r="P31" s="20"/>
      <c r="AA31" s="20"/>
      <c r="AB31" s="20"/>
      <c r="AC31" s="20"/>
      <c r="AD31" s="20"/>
      <c r="AE31" s="9"/>
      <c r="AF31" s="20"/>
      <c r="AG31" s="20"/>
    </row>
    <row r="32" spans="1:33" s="13" customFormat="1" ht="21.9" customHeight="1">
      <c r="A32" s="11"/>
      <c r="B32" s="54" t="s">
        <v>61</v>
      </c>
      <c r="C32" s="58" t="s">
        <v>61</v>
      </c>
      <c r="D32" s="59"/>
      <c r="E32" s="60" t="str">
        <f t="shared" si="4"/>
        <v/>
      </c>
      <c r="F32" s="61" t="str">
        <f t="shared" si="3"/>
        <v/>
      </c>
      <c r="G32" s="62"/>
      <c r="H32" s="62"/>
      <c r="I32" s="60" t="s">
        <v>61</v>
      </c>
      <c r="J32" s="60" t="s">
        <v>61</v>
      </c>
      <c r="K32" s="73"/>
      <c r="L32" s="74"/>
      <c r="M32" s="75"/>
      <c r="N32" s="25"/>
      <c r="O32" s="13" t="str">
        <f t="shared" ref="O32" si="5">CONCATENATE($O$2,"-",B32)</f>
        <v>-</v>
      </c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 t="s">
        <v>61</v>
      </c>
      <c r="AA32" s="20"/>
      <c r="AB32" s="20"/>
      <c r="AC32" s="20"/>
      <c r="AD32" s="20"/>
      <c r="AE32" s="9"/>
      <c r="AF32" s="20"/>
      <c r="AG32" s="20"/>
    </row>
    <row r="33" spans="1:31" ht="21.75" customHeight="1">
      <c r="A33" s="5"/>
      <c r="B33" s="68"/>
      <c r="C33" s="69"/>
      <c r="D33" s="70"/>
      <c r="E33" s="60" t="str">
        <f t="shared" si="4"/>
        <v/>
      </c>
      <c r="F33" s="61" t="str">
        <f t="shared" si="3"/>
        <v/>
      </c>
      <c r="G33" s="72"/>
      <c r="H33" s="72"/>
      <c r="I33" s="71"/>
      <c r="J33" s="71"/>
      <c r="K33" s="73"/>
      <c r="L33" s="74"/>
      <c r="M33" s="75"/>
      <c r="N33" s="26"/>
      <c r="P33" s="27"/>
      <c r="AE33" s="9"/>
    </row>
    <row r="34" spans="1:31" ht="21.75" customHeight="1">
      <c r="A34" s="5"/>
      <c r="B34" s="68"/>
      <c r="C34" s="69"/>
      <c r="D34" s="70"/>
      <c r="E34" s="60" t="str">
        <f t="shared" si="4"/>
        <v/>
      </c>
      <c r="F34" s="61" t="str">
        <f t="shared" si="3"/>
        <v/>
      </c>
      <c r="G34" s="72"/>
      <c r="H34" s="72"/>
      <c r="I34" s="71"/>
      <c r="J34" s="71"/>
      <c r="K34" s="73"/>
      <c r="L34" s="74"/>
      <c r="M34" s="75"/>
      <c r="N34" s="26"/>
      <c r="P34" s="27"/>
      <c r="AE34" s="215"/>
    </row>
    <row r="35" spans="1:31" ht="26.4">
      <c r="A35" s="5"/>
      <c r="B35" s="76"/>
      <c r="C35" s="218" t="s">
        <v>33</v>
      </c>
      <c r="D35" s="218" t="s">
        <v>33</v>
      </c>
      <c r="E35" s="218" t="s">
        <v>64</v>
      </c>
      <c r="F35" s="218" t="s">
        <v>43</v>
      </c>
      <c r="G35" s="218" t="s">
        <v>65</v>
      </c>
      <c r="H35" s="218" t="s">
        <v>66</v>
      </c>
      <c r="I35" s="218" t="s">
        <v>67</v>
      </c>
      <c r="J35" s="218" t="s">
        <v>68</v>
      </c>
      <c r="K35" s="77"/>
      <c r="L35" s="77"/>
      <c r="M35" s="78"/>
      <c r="N35" s="30"/>
      <c r="P35" s="27"/>
      <c r="AE35" s="9"/>
    </row>
    <row r="36" spans="1:31" ht="15" customHeight="1">
      <c r="A36" s="5"/>
      <c r="B36" s="76"/>
      <c r="C36" s="219"/>
      <c r="D36" s="219"/>
      <c r="E36" s="219"/>
      <c r="F36" s="219"/>
      <c r="G36" s="219"/>
      <c r="H36" s="219"/>
      <c r="I36" s="219"/>
      <c r="J36" s="219"/>
      <c r="K36" s="77"/>
      <c r="L36" s="77"/>
      <c r="M36" s="78"/>
      <c r="N36" s="30"/>
      <c r="P36" s="27"/>
      <c r="AE36" s="9"/>
    </row>
    <row r="37" spans="1:31" ht="12.75" customHeight="1">
      <c r="A37" s="5"/>
      <c r="B37" s="76"/>
      <c r="C37" s="79">
        <v>100</v>
      </c>
      <c r="D37" s="79">
        <v>0</v>
      </c>
      <c r="E37" s="80">
        <f t="shared" ref="E37:E56" si="6">IF(C15="",0,C15)</f>
        <v>25.4</v>
      </c>
      <c r="F37" s="80">
        <f t="shared" ref="F37:J46" si="7">IF(F15="",0,F15)</f>
        <v>100</v>
      </c>
      <c r="G37" s="80">
        <f t="shared" si="7"/>
        <v>100</v>
      </c>
      <c r="H37" s="80">
        <f t="shared" si="7"/>
        <v>100</v>
      </c>
      <c r="I37" s="80">
        <f t="shared" si="7"/>
        <v>100</v>
      </c>
      <c r="J37" s="80">
        <f t="shared" si="7"/>
        <v>100</v>
      </c>
      <c r="K37" s="77"/>
      <c r="L37" s="77"/>
      <c r="M37" s="78"/>
      <c r="N37" s="30"/>
      <c r="P37" s="27"/>
      <c r="AE37" s="31"/>
    </row>
    <row r="38" spans="1:31" ht="12.75" customHeight="1">
      <c r="A38" s="5"/>
      <c r="B38" s="76"/>
      <c r="C38" s="79">
        <v>100</v>
      </c>
      <c r="D38" s="79">
        <v>0</v>
      </c>
      <c r="E38" s="80">
        <f t="shared" si="6"/>
        <v>19.100000000000001</v>
      </c>
      <c r="F38" s="80">
        <f t="shared" si="7"/>
        <v>100</v>
      </c>
      <c r="G38" s="80">
        <f t="shared" si="7"/>
        <v>92.86</v>
      </c>
      <c r="H38" s="80">
        <f t="shared" si="7"/>
        <v>100</v>
      </c>
      <c r="I38" s="80">
        <f t="shared" si="7"/>
        <v>90</v>
      </c>
      <c r="J38" s="80">
        <f t="shared" si="7"/>
        <v>100</v>
      </c>
      <c r="K38" s="77"/>
      <c r="L38" s="77"/>
      <c r="M38" s="78"/>
      <c r="N38" s="30"/>
      <c r="P38" s="27"/>
      <c r="AE38" s="9"/>
    </row>
    <row r="39" spans="1:31" ht="13.8">
      <c r="A39" s="5"/>
      <c r="B39" s="76"/>
      <c r="C39" s="79">
        <v>100</v>
      </c>
      <c r="D39" s="79">
        <v>0</v>
      </c>
      <c r="E39" s="80">
        <f t="shared" si="6"/>
        <v>9.5</v>
      </c>
      <c r="F39" s="80">
        <f t="shared" si="7"/>
        <v>71.103401590793709</v>
      </c>
      <c r="G39" s="80">
        <f t="shared" si="7"/>
        <v>66.48</v>
      </c>
      <c r="H39" s="80">
        <f t="shared" si="7"/>
        <v>80</v>
      </c>
      <c r="I39" s="80">
        <f t="shared" si="7"/>
        <v>56</v>
      </c>
      <c r="J39" s="80">
        <f t="shared" si="7"/>
        <v>80</v>
      </c>
      <c r="K39" s="77"/>
      <c r="L39" s="77"/>
      <c r="M39" s="78"/>
      <c r="N39" s="30"/>
      <c r="P39" s="27"/>
      <c r="AE39" s="9"/>
    </row>
    <row r="40" spans="1:31" ht="13.8">
      <c r="A40" s="5"/>
      <c r="B40" s="76"/>
      <c r="C40" s="79">
        <v>100</v>
      </c>
      <c r="D40" s="79">
        <v>0</v>
      </c>
      <c r="E40" s="80">
        <f t="shared" si="6"/>
        <v>4.75</v>
      </c>
      <c r="F40" s="80">
        <f t="shared" si="7"/>
        <v>57.615501776950417</v>
      </c>
      <c r="G40" s="80">
        <f t="shared" si="7"/>
        <v>50.11</v>
      </c>
      <c r="H40" s="80">
        <f t="shared" si="7"/>
        <v>60.11</v>
      </c>
      <c r="I40" s="80">
        <f t="shared" si="7"/>
        <v>35</v>
      </c>
      <c r="J40" s="80">
        <f t="shared" si="7"/>
        <v>65</v>
      </c>
      <c r="K40" s="77"/>
      <c r="L40" s="77"/>
      <c r="M40" s="78"/>
      <c r="N40" s="30"/>
      <c r="P40" s="27"/>
      <c r="AE40" s="9"/>
    </row>
    <row r="41" spans="1:31" ht="13.8">
      <c r="A41" s="5"/>
      <c r="B41" s="76"/>
      <c r="C41" s="79">
        <v>100</v>
      </c>
      <c r="D41" s="79">
        <v>0</v>
      </c>
      <c r="E41" s="80">
        <f t="shared" si="6"/>
        <v>2</v>
      </c>
      <c r="F41" s="80">
        <f t="shared" si="7"/>
        <v>33.872059570147229</v>
      </c>
      <c r="G41" s="80">
        <f t="shared" si="7"/>
        <v>29.07</v>
      </c>
      <c r="H41" s="80">
        <f t="shared" si="7"/>
        <v>39.07</v>
      </c>
      <c r="I41" s="80">
        <f t="shared" si="7"/>
        <v>22</v>
      </c>
      <c r="J41" s="80">
        <f t="shared" si="7"/>
        <v>46</v>
      </c>
      <c r="K41" s="77"/>
      <c r="L41" s="77"/>
      <c r="M41" s="78"/>
      <c r="N41" s="30"/>
      <c r="P41" s="27"/>
      <c r="AE41" s="9"/>
    </row>
    <row r="42" spans="1:31" ht="13.8">
      <c r="A42" s="5"/>
      <c r="B42" s="76"/>
      <c r="C42" s="79">
        <v>100</v>
      </c>
      <c r="D42" s="79">
        <v>0</v>
      </c>
      <c r="E42" s="80">
        <f t="shared" si="6"/>
        <v>0.42</v>
      </c>
      <c r="F42" s="80">
        <f t="shared" si="7"/>
        <v>14.943306820104924</v>
      </c>
      <c r="G42" s="80">
        <f t="shared" si="7"/>
        <v>8</v>
      </c>
      <c r="H42" s="80">
        <f t="shared" si="7"/>
        <v>17.149999999999999</v>
      </c>
      <c r="I42" s="80">
        <f t="shared" si="7"/>
        <v>8</v>
      </c>
      <c r="J42" s="80">
        <f t="shared" si="7"/>
        <v>24</v>
      </c>
      <c r="K42" s="77"/>
      <c r="L42" s="77"/>
      <c r="M42" s="78"/>
      <c r="N42" s="30"/>
      <c r="P42" s="27"/>
    </row>
    <row r="43" spans="1:31" ht="13.8">
      <c r="A43" s="5"/>
      <c r="B43" s="76"/>
      <c r="C43" s="79">
        <v>100</v>
      </c>
      <c r="D43" s="79">
        <v>0</v>
      </c>
      <c r="E43" s="80">
        <f t="shared" si="6"/>
        <v>7.4999999999999997E-2</v>
      </c>
      <c r="F43" s="80">
        <f t="shared" si="7"/>
        <v>6.1770181079708903</v>
      </c>
      <c r="G43" s="80">
        <f t="shared" si="7"/>
        <v>4.38</v>
      </c>
      <c r="H43" s="80">
        <f t="shared" si="7"/>
        <v>8</v>
      </c>
      <c r="I43" s="80">
        <f t="shared" si="7"/>
        <v>2</v>
      </c>
      <c r="J43" s="80">
        <f t="shared" si="7"/>
        <v>8</v>
      </c>
      <c r="K43" s="77"/>
      <c r="L43" s="77"/>
      <c r="M43" s="78"/>
      <c r="N43" s="30"/>
      <c r="P43" s="27"/>
    </row>
    <row r="44" spans="1:31" ht="13.8">
      <c r="A44" s="5"/>
      <c r="B44" s="76"/>
      <c r="C44" s="79">
        <v>100</v>
      </c>
      <c r="D44" s="79">
        <v>0</v>
      </c>
      <c r="E44" s="80">
        <f t="shared" si="6"/>
        <v>0</v>
      </c>
      <c r="F44" s="80">
        <f t="shared" si="7"/>
        <v>0</v>
      </c>
      <c r="G44" s="80">
        <f t="shared" si="7"/>
        <v>0</v>
      </c>
      <c r="H44" s="80">
        <f t="shared" si="7"/>
        <v>0</v>
      </c>
      <c r="I44" s="80">
        <f t="shared" si="7"/>
        <v>0</v>
      </c>
      <c r="J44" s="80">
        <f t="shared" si="7"/>
        <v>0</v>
      </c>
      <c r="K44" s="77"/>
      <c r="L44" s="77"/>
      <c r="M44" s="78"/>
      <c r="N44" s="30"/>
      <c r="P44" s="27"/>
    </row>
    <row r="45" spans="1:31" ht="13.8">
      <c r="A45" s="5"/>
      <c r="B45" s="76"/>
      <c r="C45" s="79">
        <v>100</v>
      </c>
      <c r="D45" s="79">
        <v>0</v>
      </c>
      <c r="E45" s="80">
        <f t="shared" si="6"/>
        <v>0</v>
      </c>
      <c r="F45" s="80">
        <f t="shared" si="7"/>
        <v>0</v>
      </c>
      <c r="G45" s="80">
        <f t="shared" si="7"/>
        <v>0</v>
      </c>
      <c r="H45" s="80">
        <f t="shared" si="7"/>
        <v>0</v>
      </c>
      <c r="I45" s="80">
        <f t="shared" si="7"/>
        <v>0</v>
      </c>
      <c r="J45" s="80">
        <f t="shared" si="7"/>
        <v>0</v>
      </c>
      <c r="K45" s="77"/>
      <c r="L45" s="77"/>
      <c r="M45" s="78"/>
      <c r="N45" s="30"/>
    </row>
    <row r="46" spans="1:31" ht="13.8">
      <c r="A46" s="5"/>
      <c r="B46" s="76"/>
      <c r="C46" s="79">
        <v>100</v>
      </c>
      <c r="D46" s="79">
        <v>0</v>
      </c>
      <c r="E46" s="80">
        <f t="shared" si="6"/>
        <v>0</v>
      </c>
      <c r="F46" s="80">
        <f t="shared" si="7"/>
        <v>0</v>
      </c>
      <c r="G46" s="80">
        <f t="shared" si="7"/>
        <v>0</v>
      </c>
      <c r="H46" s="80">
        <f t="shared" si="7"/>
        <v>0</v>
      </c>
      <c r="I46" s="80">
        <f t="shared" si="7"/>
        <v>0</v>
      </c>
      <c r="J46" s="80">
        <f t="shared" si="7"/>
        <v>0</v>
      </c>
      <c r="K46" s="77"/>
      <c r="L46" s="77"/>
      <c r="M46" s="78"/>
      <c r="N46" s="30"/>
    </row>
    <row r="47" spans="1:31" ht="13.8">
      <c r="A47" s="5"/>
      <c r="B47" s="76"/>
      <c r="C47" s="79">
        <v>100</v>
      </c>
      <c r="D47" s="79">
        <v>0</v>
      </c>
      <c r="E47" s="80">
        <f t="shared" si="6"/>
        <v>0</v>
      </c>
      <c r="F47" s="80">
        <f t="shared" ref="F47:J56" si="8">IF(F25="",0,F25)</f>
        <v>0</v>
      </c>
      <c r="G47" s="80">
        <f t="shared" si="8"/>
        <v>0</v>
      </c>
      <c r="H47" s="80">
        <f t="shared" si="8"/>
        <v>0</v>
      </c>
      <c r="I47" s="80">
        <f t="shared" si="8"/>
        <v>0</v>
      </c>
      <c r="J47" s="80">
        <f t="shared" si="8"/>
        <v>0</v>
      </c>
      <c r="K47" s="77"/>
      <c r="L47" s="77"/>
      <c r="M47" s="78"/>
      <c r="N47" s="30"/>
    </row>
    <row r="48" spans="1:31" ht="13.8">
      <c r="A48" s="5"/>
      <c r="B48" s="76"/>
      <c r="C48" s="79">
        <v>100</v>
      </c>
      <c r="D48" s="79">
        <v>0</v>
      </c>
      <c r="E48" s="80">
        <f t="shared" si="6"/>
        <v>0</v>
      </c>
      <c r="F48" s="80">
        <f t="shared" si="8"/>
        <v>0</v>
      </c>
      <c r="G48" s="80">
        <f t="shared" si="8"/>
        <v>0</v>
      </c>
      <c r="H48" s="80">
        <f t="shared" si="8"/>
        <v>0</v>
      </c>
      <c r="I48" s="80">
        <f t="shared" si="8"/>
        <v>0</v>
      </c>
      <c r="J48" s="80">
        <f t="shared" si="8"/>
        <v>0</v>
      </c>
      <c r="K48" s="77"/>
      <c r="L48" s="77"/>
      <c r="M48" s="78"/>
      <c r="N48" s="30"/>
    </row>
    <row r="49" spans="1:33" ht="13.8">
      <c r="A49" s="5"/>
      <c r="B49" s="76"/>
      <c r="C49" s="79">
        <v>100</v>
      </c>
      <c r="D49" s="79">
        <v>0</v>
      </c>
      <c r="E49" s="80">
        <f t="shared" si="6"/>
        <v>0</v>
      </c>
      <c r="F49" s="80">
        <f t="shared" si="8"/>
        <v>0</v>
      </c>
      <c r="G49" s="80">
        <f t="shared" si="8"/>
        <v>0</v>
      </c>
      <c r="H49" s="80">
        <f t="shared" si="8"/>
        <v>0</v>
      </c>
      <c r="I49" s="80">
        <f t="shared" si="8"/>
        <v>0</v>
      </c>
      <c r="J49" s="80">
        <f t="shared" si="8"/>
        <v>0</v>
      </c>
      <c r="K49" s="77"/>
      <c r="L49" s="77"/>
      <c r="M49" s="78"/>
      <c r="N49" s="30"/>
    </row>
    <row r="50" spans="1:33" ht="15" customHeight="1">
      <c r="A50" s="5"/>
      <c r="B50" s="76"/>
      <c r="C50" s="79">
        <v>100</v>
      </c>
      <c r="D50" s="79">
        <v>0</v>
      </c>
      <c r="E50" s="80">
        <f t="shared" si="6"/>
        <v>0</v>
      </c>
      <c r="F50" s="80">
        <f t="shared" si="8"/>
        <v>0</v>
      </c>
      <c r="G50" s="80">
        <f t="shared" si="8"/>
        <v>0</v>
      </c>
      <c r="H50" s="80">
        <f t="shared" si="8"/>
        <v>0</v>
      </c>
      <c r="I50" s="80">
        <f t="shared" si="8"/>
        <v>0</v>
      </c>
      <c r="J50" s="80">
        <f t="shared" si="8"/>
        <v>0</v>
      </c>
      <c r="K50" s="77"/>
      <c r="L50" s="77"/>
      <c r="M50" s="78"/>
      <c r="N50" s="30"/>
    </row>
    <row r="51" spans="1:33" ht="13.8">
      <c r="A51" s="5"/>
      <c r="B51" s="76"/>
      <c r="C51" s="79">
        <v>100</v>
      </c>
      <c r="D51" s="79">
        <v>0</v>
      </c>
      <c r="E51" s="80">
        <f t="shared" si="6"/>
        <v>0</v>
      </c>
      <c r="F51" s="80">
        <f t="shared" si="8"/>
        <v>0</v>
      </c>
      <c r="G51" s="80">
        <f t="shared" si="8"/>
        <v>0</v>
      </c>
      <c r="H51" s="80">
        <f t="shared" si="8"/>
        <v>0</v>
      </c>
      <c r="I51" s="80">
        <f t="shared" si="8"/>
        <v>0</v>
      </c>
      <c r="J51" s="80">
        <f t="shared" si="8"/>
        <v>0</v>
      </c>
      <c r="K51" s="77"/>
      <c r="L51" s="77"/>
      <c r="M51" s="78"/>
      <c r="N51" s="30"/>
    </row>
    <row r="52" spans="1:33" ht="15" customHeight="1">
      <c r="A52" s="5"/>
      <c r="B52" s="76"/>
      <c r="C52" s="79">
        <v>100</v>
      </c>
      <c r="D52" s="79">
        <v>0</v>
      </c>
      <c r="E52" s="80">
        <f t="shared" si="6"/>
        <v>0</v>
      </c>
      <c r="F52" s="80">
        <f t="shared" si="8"/>
        <v>0</v>
      </c>
      <c r="G52" s="80">
        <f t="shared" si="8"/>
        <v>0</v>
      </c>
      <c r="H52" s="80">
        <f t="shared" si="8"/>
        <v>0</v>
      </c>
      <c r="I52" s="80">
        <f t="shared" si="8"/>
        <v>0</v>
      </c>
      <c r="J52" s="80">
        <f t="shared" si="8"/>
        <v>0</v>
      </c>
      <c r="K52" s="77"/>
      <c r="L52" s="77"/>
      <c r="M52" s="78"/>
      <c r="N52" s="30"/>
    </row>
    <row r="53" spans="1:33" ht="18" customHeight="1">
      <c r="A53" s="5"/>
      <c r="B53" s="49"/>
      <c r="C53" s="79">
        <v>100</v>
      </c>
      <c r="D53" s="79">
        <v>0</v>
      </c>
      <c r="E53" s="80">
        <f t="shared" si="6"/>
        <v>0</v>
      </c>
      <c r="F53" s="80">
        <f t="shared" si="8"/>
        <v>0</v>
      </c>
      <c r="G53" s="80">
        <f t="shared" si="8"/>
        <v>0</v>
      </c>
      <c r="H53" s="80">
        <f t="shared" si="8"/>
        <v>0</v>
      </c>
      <c r="I53" s="80">
        <f t="shared" si="8"/>
        <v>0</v>
      </c>
      <c r="J53" s="80">
        <f t="shared" si="8"/>
        <v>0</v>
      </c>
      <c r="K53" s="82"/>
      <c r="L53" s="82"/>
      <c r="M53" s="78"/>
      <c r="N53" s="30"/>
    </row>
    <row r="54" spans="1:33" ht="13.8">
      <c r="A54" s="5"/>
      <c r="B54" s="49"/>
      <c r="C54" s="79">
        <v>100</v>
      </c>
      <c r="D54" s="79">
        <v>0</v>
      </c>
      <c r="E54" s="80">
        <f t="shared" si="6"/>
        <v>0</v>
      </c>
      <c r="F54" s="80">
        <f t="shared" si="8"/>
        <v>0</v>
      </c>
      <c r="G54" s="80">
        <f t="shared" si="8"/>
        <v>0</v>
      </c>
      <c r="H54" s="80">
        <f t="shared" si="8"/>
        <v>0</v>
      </c>
      <c r="I54" s="80">
        <f t="shared" si="8"/>
        <v>0</v>
      </c>
      <c r="J54" s="80">
        <f t="shared" si="8"/>
        <v>0</v>
      </c>
      <c r="K54" s="81"/>
      <c r="L54" s="81"/>
      <c r="M54" s="78"/>
      <c r="N54" s="30"/>
    </row>
    <row r="55" spans="1:33" ht="18" customHeight="1">
      <c r="A55" s="5"/>
      <c r="B55" s="76"/>
      <c r="C55" s="79">
        <v>100</v>
      </c>
      <c r="D55" s="79">
        <v>0</v>
      </c>
      <c r="E55" s="80">
        <f t="shared" si="6"/>
        <v>0</v>
      </c>
      <c r="F55" s="80">
        <f t="shared" si="8"/>
        <v>0</v>
      </c>
      <c r="G55" s="80">
        <f t="shared" si="8"/>
        <v>0</v>
      </c>
      <c r="H55" s="80">
        <f t="shared" si="8"/>
        <v>0</v>
      </c>
      <c r="I55" s="80">
        <f t="shared" si="8"/>
        <v>0</v>
      </c>
      <c r="J55" s="80">
        <f t="shared" si="8"/>
        <v>0</v>
      </c>
      <c r="K55" s="77"/>
      <c r="L55" s="77"/>
      <c r="M55" s="78"/>
      <c r="N55" s="30"/>
    </row>
    <row r="56" spans="1:33" ht="18.75" customHeight="1">
      <c r="A56" s="5"/>
      <c r="B56" s="76"/>
      <c r="C56" s="79">
        <v>100</v>
      </c>
      <c r="D56" s="79">
        <v>0</v>
      </c>
      <c r="E56" s="80">
        <f t="shared" si="6"/>
        <v>0</v>
      </c>
      <c r="F56" s="80">
        <f t="shared" si="8"/>
        <v>0</v>
      </c>
      <c r="G56" s="80">
        <f t="shared" si="8"/>
        <v>0</v>
      </c>
      <c r="H56" s="80">
        <f t="shared" si="8"/>
        <v>0</v>
      </c>
      <c r="I56" s="80">
        <f t="shared" si="8"/>
        <v>0</v>
      </c>
      <c r="J56" s="80">
        <f t="shared" si="8"/>
        <v>0</v>
      </c>
      <c r="K56" s="83"/>
      <c r="L56" s="83"/>
      <c r="M56" s="78"/>
      <c r="N56" s="30"/>
    </row>
    <row r="57" spans="1:33" ht="14.4" customHeight="1">
      <c r="A57" s="5"/>
      <c r="B57" s="253" t="s">
        <v>69</v>
      </c>
      <c r="C57" s="255" t="s">
        <v>70</v>
      </c>
      <c r="D57" s="256"/>
      <c r="E57" s="259">
        <v>1</v>
      </c>
      <c r="F57" s="261">
        <v>2</v>
      </c>
      <c r="G57" s="263">
        <v>3</v>
      </c>
      <c r="H57" s="265" t="s">
        <v>71</v>
      </c>
      <c r="I57" s="267" t="s">
        <v>72</v>
      </c>
      <c r="J57" s="268"/>
      <c r="K57" s="272" t="s">
        <v>73</v>
      </c>
      <c r="L57" s="273"/>
      <c r="M57" s="274"/>
      <c r="N57" s="32"/>
      <c r="Q57" s="27" t="s">
        <v>63</v>
      </c>
      <c r="U57" s="20"/>
      <c r="V57" s="20"/>
      <c r="W57" s="20" t="s">
        <v>9</v>
      </c>
      <c r="X57" s="20"/>
      <c r="Y57" s="20"/>
      <c r="Z57" s="20">
        <v>1.0229999999999999</v>
      </c>
      <c r="AA57" s="20"/>
      <c r="AB57" s="20"/>
      <c r="AC57" s="20"/>
      <c r="AD57" s="20"/>
    </row>
    <row r="58" spans="1:33" s="13" customFormat="1" ht="19.5" customHeight="1">
      <c r="A58" s="11"/>
      <c r="B58" s="254"/>
      <c r="C58" s="257"/>
      <c r="D58" s="258"/>
      <c r="E58" s="260"/>
      <c r="F58" s="262"/>
      <c r="G58" s="264"/>
      <c r="H58" s="266"/>
      <c r="I58" s="84" t="s">
        <v>74</v>
      </c>
      <c r="J58" s="84" t="s">
        <v>75</v>
      </c>
      <c r="K58" s="275"/>
      <c r="L58" s="276"/>
      <c r="M58" s="277"/>
      <c r="N58" s="32"/>
      <c r="Q58" s="27">
        <v>15</v>
      </c>
      <c r="R58" s="216">
        <v>0.99909999999999999</v>
      </c>
      <c r="S58" s="27"/>
      <c r="T58" s="27"/>
      <c r="U58" s="20"/>
      <c r="V58" s="20"/>
      <c r="W58" s="20" t="s">
        <v>11</v>
      </c>
      <c r="X58" s="20"/>
      <c r="Y58" s="20"/>
      <c r="Z58" s="20"/>
      <c r="AA58" s="20"/>
      <c r="AB58" s="20"/>
      <c r="AC58" s="20"/>
      <c r="AD58" s="20"/>
      <c r="AE58" s="20"/>
      <c r="AF58" s="20"/>
      <c r="AG58" s="20"/>
    </row>
    <row r="59" spans="1:33" s="13" customFormat="1" ht="27.9" customHeight="1">
      <c r="A59" s="11"/>
      <c r="B59" s="254"/>
      <c r="C59" s="85" t="s">
        <v>76</v>
      </c>
      <c r="D59" s="86"/>
      <c r="E59" s="87">
        <v>1237.5</v>
      </c>
      <c r="F59" s="88">
        <v>1238.5</v>
      </c>
      <c r="G59" s="89">
        <v>1241.4000000000001</v>
      </c>
      <c r="H59" s="90" t="s">
        <v>77</v>
      </c>
      <c r="I59" s="278" t="s">
        <v>77</v>
      </c>
      <c r="J59" s="279"/>
      <c r="K59" s="91" t="s">
        <v>78</v>
      </c>
      <c r="L59" s="92"/>
      <c r="M59" s="93">
        <v>7686.2</v>
      </c>
      <c r="N59" s="33"/>
      <c r="Q59" s="27">
        <v>16</v>
      </c>
      <c r="R59" s="216">
        <v>0.999</v>
      </c>
      <c r="S59" s="27"/>
      <c r="T59" s="27"/>
      <c r="U59" s="20"/>
      <c r="V59" s="20"/>
      <c r="W59" s="20" t="s">
        <v>16</v>
      </c>
      <c r="X59" s="20"/>
      <c r="Y59" s="20"/>
      <c r="Z59" s="20"/>
      <c r="AA59" s="20"/>
      <c r="AB59" s="20"/>
      <c r="AC59" s="20"/>
      <c r="AD59" s="20"/>
      <c r="AE59" s="20"/>
      <c r="AF59" s="20"/>
      <c r="AG59" s="20"/>
    </row>
    <row r="60" spans="1:33" s="13" customFormat="1" ht="27.9" customHeight="1">
      <c r="A60" s="11"/>
      <c r="B60" s="254"/>
      <c r="C60" s="94" t="s">
        <v>79</v>
      </c>
      <c r="D60" s="95"/>
      <c r="E60" s="96">
        <v>728</v>
      </c>
      <c r="F60" s="97">
        <v>729.7</v>
      </c>
      <c r="G60" s="98">
        <v>731.8</v>
      </c>
      <c r="H60" s="99" t="s">
        <v>77</v>
      </c>
      <c r="I60" s="224" t="s">
        <v>77</v>
      </c>
      <c r="J60" s="225"/>
      <c r="K60" s="101" t="s">
        <v>80</v>
      </c>
      <c r="L60" s="102"/>
      <c r="M60" s="103">
        <v>2563</v>
      </c>
      <c r="N60" s="33"/>
      <c r="Q60" s="27">
        <v>17</v>
      </c>
      <c r="R60" s="216">
        <v>0.99880000000000002</v>
      </c>
      <c r="S60" s="27"/>
      <c r="T60" s="27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</row>
    <row r="61" spans="1:33" s="13" customFormat="1" ht="27.9" customHeight="1">
      <c r="A61" s="11"/>
      <c r="B61" s="254"/>
      <c r="C61" s="94" t="s">
        <v>81</v>
      </c>
      <c r="D61" s="95"/>
      <c r="E61" s="104">
        <v>1237.5</v>
      </c>
      <c r="F61" s="105">
        <v>1238.5</v>
      </c>
      <c r="G61" s="98">
        <v>1241.4000000000001</v>
      </c>
      <c r="H61" s="106" t="s">
        <v>77</v>
      </c>
      <c r="I61" s="229" t="s">
        <v>77</v>
      </c>
      <c r="J61" s="230"/>
      <c r="K61" s="107" t="s">
        <v>82</v>
      </c>
      <c r="L61" s="108"/>
      <c r="M61" s="103">
        <v>9240.2000000000007</v>
      </c>
      <c r="N61" s="33"/>
      <c r="Q61" s="27">
        <v>18</v>
      </c>
      <c r="R61" s="216">
        <v>0.99860000000000004</v>
      </c>
      <c r="S61" s="27"/>
      <c r="T61" s="27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</row>
    <row r="62" spans="1:33" s="13" customFormat="1" ht="27.9" customHeight="1">
      <c r="A62" s="11"/>
      <c r="B62" s="254"/>
      <c r="C62" s="94" t="s">
        <v>83</v>
      </c>
      <c r="D62" s="95"/>
      <c r="E62" s="109">
        <f>IF(E61="","",E61-E60)</f>
        <v>509.5</v>
      </c>
      <c r="F62" s="110">
        <f>IF(F61="","",F61-F60)</f>
        <v>508.79999999999995</v>
      </c>
      <c r="G62" s="111">
        <f>IF(G61="","",G61-G60)</f>
        <v>509.60000000000014</v>
      </c>
      <c r="H62" s="99" t="s">
        <v>77</v>
      </c>
      <c r="I62" s="229" t="s">
        <v>77</v>
      </c>
      <c r="J62" s="230"/>
      <c r="K62" s="112" t="s">
        <v>84</v>
      </c>
      <c r="L62" s="113">
        <v>25</v>
      </c>
      <c r="M62" s="114">
        <f>IFERROR(VLOOKUP(L62,$Q$58:$R$78,2),"")</f>
        <v>0.99709999999999999</v>
      </c>
      <c r="N62" s="34"/>
      <c r="Q62" s="27">
        <v>19</v>
      </c>
      <c r="R62" s="216">
        <v>0.99839999999999995</v>
      </c>
      <c r="S62" s="27"/>
      <c r="T62" s="27"/>
      <c r="U62" s="210" t="s">
        <v>30</v>
      </c>
      <c r="V62" s="210" t="s">
        <v>31</v>
      </c>
      <c r="W62" s="210" t="s">
        <v>32</v>
      </c>
      <c r="X62" s="20"/>
      <c r="Y62" s="20"/>
      <c r="Z62" s="20"/>
      <c r="AA62" s="20"/>
      <c r="AB62" s="20"/>
      <c r="AC62" s="20"/>
      <c r="AD62" s="20"/>
      <c r="AE62" s="20"/>
      <c r="AF62" s="20"/>
      <c r="AG62" s="20"/>
    </row>
    <row r="63" spans="1:33" s="13" customFormat="1" ht="27.9" customHeight="1">
      <c r="A63" s="11"/>
      <c r="B63" s="254"/>
      <c r="C63" s="222" t="s">
        <v>85</v>
      </c>
      <c r="D63" s="223"/>
      <c r="E63" s="115">
        <f>IF(E59="","",(E59/E62)*0.9971)</f>
        <v>2.4218081452404316</v>
      </c>
      <c r="F63" s="116">
        <f>IF(F59="","",(F59/F62)*0.9971)</f>
        <v>2.4270997444968558</v>
      </c>
      <c r="G63" s="117">
        <f>IF(G59="","",(G59/G62)*0.9971)</f>
        <v>2.4289637755102036</v>
      </c>
      <c r="H63" s="118">
        <f>IF(E59="","-",AVERAGE(E63:G63))</f>
        <v>2.4259572217491634</v>
      </c>
      <c r="I63" s="224" t="s">
        <v>77</v>
      </c>
      <c r="J63" s="225"/>
      <c r="K63" s="119" t="s">
        <v>86</v>
      </c>
      <c r="L63" s="120"/>
      <c r="M63" s="121">
        <f>IF(M59="","",M60/((M59+M60)-M61)*M62)</f>
        <v>2.5327723488602576</v>
      </c>
      <c r="N63" s="35"/>
      <c r="Q63" s="27">
        <v>20</v>
      </c>
      <c r="R63" s="216">
        <v>0.99819999999999998</v>
      </c>
      <c r="S63" s="27"/>
      <c r="T63" s="27"/>
      <c r="U63" s="211" t="s">
        <v>77</v>
      </c>
      <c r="V63" s="212" t="e">
        <f>U63-0.3</f>
        <v>#VALUE!</v>
      </c>
      <c r="W63" s="212" t="e">
        <f>U63+0.3</f>
        <v>#VALUE!</v>
      </c>
      <c r="X63" s="20"/>
      <c r="Y63" s="20"/>
      <c r="Z63" s="20"/>
      <c r="AA63" s="20"/>
      <c r="AB63" s="20"/>
      <c r="AC63" s="20"/>
      <c r="AD63" s="20"/>
      <c r="AE63" s="20"/>
      <c r="AF63" s="20"/>
      <c r="AG63" s="20"/>
    </row>
    <row r="64" spans="1:33" s="13" customFormat="1" ht="27.9" customHeight="1">
      <c r="A64" s="11"/>
      <c r="B64" s="254"/>
      <c r="C64" s="94" t="s">
        <v>87</v>
      </c>
      <c r="D64" s="122"/>
      <c r="E64" s="231">
        <f>M63</f>
        <v>2.5327723488602576</v>
      </c>
      <c r="F64" s="232"/>
      <c r="G64" s="233"/>
      <c r="H64" s="123">
        <f>IF(M59="","-",AVERAGE(E64:G64))</f>
        <v>2.5327723488602576</v>
      </c>
      <c r="I64" s="124" t="s">
        <v>77</v>
      </c>
      <c r="J64" s="100" t="s">
        <v>77</v>
      </c>
      <c r="K64" s="234" t="s">
        <v>88</v>
      </c>
      <c r="L64" s="235"/>
      <c r="M64" s="236"/>
      <c r="N64" s="33"/>
      <c r="Q64" s="27">
        <v>21</v>
      </c>
      <c r="R64" s="216">
        <v>0.998</v>
      </c>
      <c r="S64" s="27"/>
      <c r="T64" s="27"/>
      <c r="U64" s="213"/>
      <c r="V64" s="20"/>
      <c r="W64" s="20"/>
      <c r="X64" s="20"/>
      <c r="Y64" s="20"/>
      <c r="Z64" s="20"/>
      <c r="AA64" s="20" t="s">
        <v>38</v>
      </c>
      <c r="AB64" s="20"/>
      <c r="AC64" s="20"/>
      <c r="AE64" s="20"/>
      <c r="AF64" s="20"/>
      <c r="AG64" s="20"/>
    </row>
    <row r="65" spans="1:33" s="13" customFormat="1" ht="27.9" customHeight="1">
      <c r="A65" s="11"/>
      <c r="B65" s="254"/>
      <c r="C65" s="94" t="s">
        <v>89</v>
      </c>
      <c r="D65" s="95"/>
      <c r="E65" s="125">
        <f>IFERROR(IF($E$64="","",($E$64-E63)/$E$64*100),"")</f>
        <v>4.3811360965686319</v>
      </c>
      <c r="F65" s="126">
        <f>IFERROR(IF($E$64="","",($E$64-F63)/$E$64*100),"")</f>
        <v>4.1722109139005017</v>
      </c>
      <c r="G65" s="127">
        <f>IFERROR(IF($E$64="","",($E$64-G63)/$E$64*100),"")</f>
        <v>4.0986144450277049</v>
      </c>
      <c r="H65" s="128">
        <f>IF(E59="","-",AVERAGE(E65:G65))</f>
        <v>4.2173204851656125</v>
      </c>
      <c r="I65" s="129">
        <v>3</v>
      </c>
      <c r="J65" s="130">
        <v>5</v>
      </c>
      <c r="K65" s="131" t="s">
        <v>90</v>
      </c>
      <c r="L65" s="132"/>
      <c r="M65" s="133"/>
      <c r="N65" s="33"/>
      <c r="Q65" s="27">
        <v>22</v>
      </c>
      <c r="R65" s="216">
        <v>0.99780000000000002</v>
      </c>
      <c r="S65" s="27"/>
      <c r="T65" s="27"/>
      <c r="U65" s="214" t="s">
        <v>46</v>
      </c>
      <c r="V65" s="214" t="s">
        <v>47</v>
      </c>
      <c r="W65" s="20"/>
      <c r="X65" s="20"/>
      <c r="Y65" s="20"/>
      <c r="Z65" s="20"/>
      <c r="AA65" s="20" t="s">
        <v>48</v>
      </c>
      <c r="AB65" s="20"/>
      <c r="AC65" s="20"/>
      <c r="AE65" s="20"/>
      <c r="AF65" s="20"/>
      <c r="AG65" s="20"/>
    </row>
    <row r="66" spans="1:33" s="13" customFormat="1" ht="27.9" customHeight="1">
      <c r="A66" s="11"/>
      <c r="B66" s="254"/>
      <c r="C66" s="94" t="s">
        <v>91</v>
      </c>
      <c r="D66" s="95"/>
      <c r="E66" s="125">
        <f>IF(E63="","",E63*$M$19/$Z$57)</f>
        <v>11.456499664567378</v>
      </c>
      <c r="F66" s="134">
        <f>IF(F63="","",F63*$M$19/$Z$57)</f>
        <v>11.481531872517207</v>
      </c>
      <c r="G66" s="127">
        <f>IF(G63="","",G63*$M$19/$Z$57)</f>
        <v>11.490349776082825</v>
      </c>
      <c r="H66" s="99">
        <f>IF(E59="","-",AVERAGE(E66:G66))</f>
        <v>11.476127104389136</v>
      </c>
      <c r="I66" s="237" t="s">
        <v>77</v>
      </c>
      <c r="J66" s="238"/>
      <c r="K66" s="131" t="s">
        <v>92</v>
      </c>
      <c r="L66" s="132"/>
      <c r="M66" s="89"/>
      <c r="N66" s="36"/>
      <c r="Q66" s="27">
        <v>23</v>
      </c>
      <c r="R66" s="216">
        <v>0.99760000000000004</v>
      </c>
      <c r="S66" s="27"/>
      <c r="T66" s="27"/>
      <c r="U66" s="20">
        <v>0</v>
      </c>
      <c r="V66" s="20">
        <f>U66</f>
        <v>0</v>
      </c>
      <c r="W66" s="20"/>
      <c r="X66" s="20"/>
      <c r="Y66" s="20" t="str">
        <f>AA71</f>
        <v>#200</v>
      </c>
      <c r="Z66" s="20"/>
      <c r="AA66" s="20" t="s">
        <v>50</v>
      </c>
      <c r="AB66" s="20"/>
      <c r="AC66" s="20"/>
      <c r="AE66" s="20"/>
      <c r="AF66" s="20"/>
      <c r="AG66" s="20"/>
    </row>
    <row r="67" spans="1:33" s="13" customFormat="1" ht="27.9" customHeight="1">
      <c r="A67" s="11"/>
      <c r="B67" s="254"/>
      <c r="C67" s="94" t="s">
        <v>93</v>
      </c>
      <c r="D67" s="95"/>
      <c r="E67" s="125">
        <f>IF(E65="","",E65+E66)</f>
        <v>15.83763576113601</v>
      </c>
      <c r="F67" s="134">
        <f>IF(F65="","",F65+F66)</f>
        <v>15.653742786417709</v>
      </c>
      <c r="G67" s="135">
        <f>IF(G65="","",G65+G66)</f>
        <v>15.58896422111053</v>
      </c>
      <c r="H67" s="99">
        <f>IF(E59="","-",AVERAGE(E67:G67))</f>
        <v>15.693447589554751</v>
      </c>
      <c r="I67" s="239" t="s">
        <v>77</v>
      </c>
      <c r="J67" s="240"/>
      <c r="K67" s="136" t="s">
        <v>94</v>
      </c>
      <c r="L67" s="137"/>
      <c r="M67" s="138" t="str">
        <f>IF(M65="","",(M65-M66)/M66*100)</f>
        <v/>
      </c>
      <c r="N67" s="33"/>
      <c r="Q67" s="27">
        <v>24</v>
      </c>
      <c r="R67" s="216">
        <v>0.99729999999999996</v>
      </c>
      <c r="S67" s="27"/>
      <c r="T67" s="27"/>
      <c r="U67" s="20">
        <v>0</v>
      </c>
      <c r="V67" s="20">
        <f>U67-U66</f>
        <v>0</v>
      </c>
      <c r="W67" s="20"/>
      <c r="X67" s="20"/>
      <c r="Y67" s="20">
        <f>IFERROR(VLOOKUP(Y66,B15:F34,5,FALSE),"")</f>
        <v>6.1770181079708903</v>
      </c>
      <c r="Z67" s="20"/>
      <c r="AA67" s="20" t="s">
        <v>52</v>
      </c>
      <c r="AB67" s="20"/>
      <c r="AC67" s="20"/>
      <c r="AE67" s="20"/>
      <c r="AF67" s="20"/>
      <c r="AG67" s="20"/>
    </row>
    <row r="68" spans="1:33" s="13" customFormat="1" ht="27.9" customHeight="1">
      <c r="A68" s="11"/>
      <c r="B68" s="254"/>
      <c r="C68" s="139" t="s">
        <v>95</v>
      </c>
      <c r="D68" s="140"/>
      <c r="E68" s="141">
        <f>IF(E65="","",(E67-E65)/E67*100)</f>
        <v>72.337183638737883</v>
      </c>
      <c r="F68" s="142">
        <f>IF(F65="","",(F67-F65)/F67*100)</f>
        <v>73.346879587668923</v>
      </c>
      <c r="G68" s="143">
        <f>IF(G65="","",(G67-G65)/G67*100)</f>
        <v>73.708231112126271</v>
      </c>
      <c r="H68" s="144">
        <f>IF(E59="","-",AVERAGE(E68:G68))</f>
        <v>73.130764779511026</v>
      </c>
      <c r="I68" s="145">
        <v>70</v>
      </c>
      <c r="J68" s="146">
        <v>82</v>
      </c>
      <c r="K68" s="241" t="s">
        <v>96</v>
      </c>
      <c r="L68" s="242"/>
      <c r="M68" s="67">
        <f>IF(M67="",M21,M21-M67)</f>
        <v>5.1781141798856707</v>
      </c>
      <c r="N68" s="37"/>
      <c r="Q68" s="27">
        <v>25</v>
      </c>
      <c r="R68" s="216">
        <v>0.99709999999999999</v>
      </c>
      <c r="S68" s="27"/>
      <c r="T68" s="27"/>
      <c r="U68" s="20">
        <v>341.5</v>
      </c>
      <c r="V68" s="20">
        <f>U68-U67</f>
        <v>341.5</v>
      </c>
      <c r="W68" s="20"/>
      <c r="X68" s="20"/>
      <c r="Y68" s="20"/>
      <c r="Z68" s="20"/>
      <c r="AA68" s="20" t="s">
        <v>54</v>
      </c>
      <c r="AB68" s="20"/>
      <c r="AC68" s="20"/>
      <c r="AE68" s="20"/>
      <c r="AF68" s="20"/>
      <c r="AG68" s="20"/>
    </row>
    <row r="69" spans="1:33" s="13" customFormat="1" ht="27.9" customHeight="1">
      <c r="A69" s="11"/>
      <c r="B69" s="254"/>
      <c r="C69" s="147" t="s">
        <v>97</v>
      </c>
      <c r="D69" s="148"/>
      <c r="E69" s="149">
        <v>6.37</v>
      </c>
      <c r="F69" s="150">
        <v>6.39</v>
      </c>
      <c r="G69" s="151">
        <v>6.39</v>
      </c>
      <c r="H69" s="152" t="s">
        <v>77</v>
      </c>
      <c r="I69" s="224" t="s">
        <v>77</v>
      </c>
      <c r="J69" s="225"/>
      <c r="K69" s="153"/>
      <c r="L69" s="154"/>
      <c r="M69" s="155"/>
      <c r="N69" s="38"/>
      <c r="Q69" s="27">
        <v>26</v>
      </c>
      <c r="R69" s="216">
        <v>0.99680000000000002</v>
      </c>
      <c r="S69" s="27"/>
      <c r="T69" s="27"/>
      <c r="U69" s="20">
        <v>500.9</v>
      </c>
      <c r="V69" s="20">
        <f>U69-U68</f>
        <v>159.39999999999998</v>
      </c>
      <c r="W69" s="20"/>
      <c r="X69" s="20"/>
      <c r="Y69" s="20"/>
      <c r="Z69" s="20"/>
      <c r="AA69" s="20" t="s">
        <v>56</v>
      </c>
      <c r="AB69" s="20"/>
      <c r="AC69" s="20"/>
      <c r="AE69" s="20"/>
      <c r="AF69" s="20"/>
      <c r="AG69" s="20"/>
    </row>
    <row r="70" spans="1:33" s="13" customFormat="1" ht="27.9" customHeight="1">
      <c r="A70" s="11"/>
      <c r="B70" s="254"/>
      <c r="C70" s="156" t="s">
        <v>98</v>
      </c>
      <c r="D70" s="157"/>
      <c r="E70" s="226">
        <v>1.94</v>
      </c>
      <c r="F70" s="227"/>
      <c r="G70" s="228"/>
      <c r="H70" s="158" t="s">
        <v>77</v>
      </c>
      <c r="I70" s="229" t="s">
        <v>77</v>
      </c>
      <c r="J70" s="230"/>
      <c r="K70" s="153"/>
      <c r="L70" s="154"/>
      <c r="M70" s="159"/>
      <c r="N70" s="37"/>
      <c r="Q70" s="27">
        <v>27</v>
      </c>
      <c r="R70" s="216">
        <v>0.99650000000000005</v>
      </c>
      <c r="S70" s="27"/>
      <c r="T70" s="27"/>
      <c r="U70" s="20">
        <v>781.5</v>
      </c>
      <c r="V70" s="20">
        <f t="shared" ref="V70:V72" si="9">U70-U69</f>
        <v>280.60000000000002</v>
      </c>
      <c r="W70" s="20"/>
      <c r="X70" s="20"/>
      <c r="Y70" s="20"/>
      <c r="Z70" s="20"/>
      <c r="AA70" s="20" t="s">
        <v>58</v>
      </c>
      <c r="AB70" s="20"/>
      <c r="AC70" s="20"/>
      <c r="AE70" s="20"/>
      <c r="AF70" s="20"/>
      <c r="AG70" s="20"/>
    </row>
    <row r="71" spans="1:33" s="13" customFormat="1" ht="27.9" customHeight="1">
      <c r="A71" s="11"/>
      <c r="B71" s="243" t="s">
        <v>99</v>
      </c>
      <c r="C71" s="206" t="s">
        <v>100</v>
      </c>
      <c r="D71" s="207"/>
      <c r="E71" s="160">
        <v>670</v>
      </c>
      <c r="F71" s="161">
        <v>695</v>
      </c>
      <c r="G71" s="162">
        <v>675</v>
      </c>
      <c r="H71" s="163" t="s">
        <v>77</v>
      </c>
      <c r="I71" s="251" t="s">
        <v>77</v>
      </c>
      <c r="J71" s="252"/>
      <c r="K71" s="164"/>
      <c r="L71" s="165"/>
      <c r="M71" s="166"/>
      <c r="N71" s="37"/>
      <c r="Q71" s="27">
        <v>28</v>
      </c>
      <c r="R71" s="216">
        <v>0.99629999999999996</v>
      </c>
      <c r="S71" s="27"/>
      <c r="T71" s="27"/>
      <c r="U71" s="20">
        <v>1005.2</v>
      </c>
      <c r="V71" s="20">
        <f t="shared" si="9"/>
        <v>223.70000000000005</v>
      </c>
      <c r="W71" s="20"/>
      <c r="X71" s="20"/>
      <c r="Y71" s="20"/>
      <c r="Z71" s="20"/>
      <c r="AA71" s="20" t="s">
        <v>60</v>
      </c>
      <c r="AB71" s="20"/>
      <c r="AC71" s="20"/>
      <c r="AE71" s="20"/>
      <c r="AF71" s="20"/>
      <c r="AG71" s="20"/>
    </row>
    <row r="72" spans="1:33" s="13" customFormat="1" ht="27.9" customHeight="1">
      <c r="A72" s="11"/>
      <c r="B72" s="245"/>
      <c r="C72" s="167" t="s">
        <v>101</v>
      </c>
      <c r="D72" s="168"/>
      <c r="E72" s="169">
        <f>IF(E71="","",((E71*2)/(10*E69*3.1416))*0.098*E70)</f>
        <v>1.2730406848053906</v>
      </c>
      <c r="F72" s="170">
        <f>IF(F71="","",((F71*2)/(10*F69*3.1416))*0.098*E70)</f>
        <v>1.3164090504604176</v>
      </c>
      <c r="G72" s="171">
        <f>IF(G71="","",((G71*2)/(10*G69*3.1416))*0.098*E70)</f>
        <v>1.2785267756270244</v>
      </c>
      <c r="H72" s="172">
        <f>IF(F71="","",AVERAGE(E72:G72))</f>
        <v>1.2893255036309441</v>
      </c>
      <c r="I72" s="173">
        <v>0.8</v>
      </c>
      <c r="J72" s="174" t="s">
        <v>77</v>
      </c>
      <c r="K72" s="175"/>
      <c r="L72" s="176"/>
      <c r="M72" s="177"/>
      <c r="N72" s="39"/>
      <c r="Q72" s="27">
        <v>29</v>
      </c>
      <c r="R72" s="216">
        <v>0.996</v>
      </c>
      <c r="S72" s="27"/>
      <c r="T72" s="27"/>
      <c r="U72" s="20">
        <v>1108.8</v>
      </c>
      <c r="V72" s="20">
        <f t="shared" si="9"/>
        <v>103.59999999999991</v>
      </c>
      <c r="W72" s="20"/>
      <c r="X72" s="20"/>
      <c r="Y72" s="20"/>
      <c r="Z72" s="20"/>
      <c r="AA72" s="20"/>
      <c r="AB72" s="20"/>
      <c r="AC72" s="20"/>
      <c r="AD72" s="20" t="s">
        <v>61</v>
      </c>
      <c r="AE72" s="20"/>
      <c r="AF72" s="20"/>
      <c r="AG72" s="20"/>
    </row>
    <row r="73" spans="1:33" s="13" customFormat="1" ht="27.9" customHeight="1">
      <c r="A73" s="11"/>
      <c r="B73" s="243" t="s">
        <v>102</v>
      </c>
      <c r="C73" s="156" t="s">
        <v>100</v>
      </c>
      <c r="D73" s="157"/>
      <c r="E73" s="178">
        <v>740</v>
      </c>
      <c r="F73" s="161">
        <v>700</v>
      </c>
      <c r="G73" s="162">
        <v>760</v>
      </c>
      <c r="H73" s="179" t="s">
        <v>77</v>
      </c>
      <c r="I73" s="246" t="s">
        <v>77</v>
      </c>
      <c r="J73" s="247"/>
      <c r="K73" s="180"/>
      <c r="L73" s="181"/>
      <c r="M73" s="182"/>
      <c r="N73" s="40"/>
      <c r="Q73" s="27">
        <v>30</v>
      </c>
      <c r="R73" s="216">
        <v>0.99570000000000003</v>
      </c>
      <c r="S73" s="27"/>
      <c r="T73" s="27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</row>
    <row r="74" spans="1:33" s="13" customFormat="1" ht="27.9" customHeight="1">
      <c r="A74" s="11"/>
      <c r="B74" s="244"/>
      <c r="C74" s="167" t="s">
        <v>103</v>
      </c>
      <c r="D74" s="168"/>
      <c r="E74" s="183">
        <f>IF(E73="","",(927.23*(((E69*10)^-1.64)*E73*$E$70)))</f>
        <v>1463.6332101651542</v>
      </c>
      <c r="F74" s="184">
        <f>IF(F73="","",(927.23*(((F69*10)^-1.64)*F73*$E$70)))</f>
        <v>1377.4182635085842</v>
      </c>
      <c r="G74" s="185">
        <f t="shared" ref="G74" si="10">IF(G73="","",(927.23*(((G69*10)^-1.64)*G73*$E$70)))</f>
        <v>1495.4826860950341</v>
      </c>
      <c r="H74" s="186">
        <f>IF(E73="","",AVERAGE(E74:G74))</f>
        <v>1445.511386589591</v>
      </c>
      <c r="I74" s="187">
        <v>850</v>
      </c>
      <c r="J74" s="188" t="s">
        <v>77</v>
      </c>
      <c r="K74" s="180"/>
      <c r="L74" s="181"/>
      <c r="M74" s="182"/>
      <c r="N74" s="40"/>
      <c r="Q74" s="27">
        <v>31</v>
      </c>
      <c r="R74" s="216">
        <v>0.99539999999999995</v>
      </c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0"/>
      <c r="AF74" s="20"/>
      <c r="AG74" s="20"/>
    </row>
    <row r="75" spans="1:33" s="13" customFormat="1" ht="27.9" customHeight="1">
      <c r="A75" s="11"/>
      <c r="B75" s="244"/>
      <c r="C75" s="156" t="s">
        <v>104</v>
      </c>
      <c r="D75" s="157"/>
      <c r="E75" s="189">
        <v>0</v>
      </c>
      <c r="F75" s="190">
        <v>0</v>
      </c>
      <c r="G75" s="191">
        <v>0</v>
      </c>
      <c r="H75" s="179" t="s">
        <v>77</v>
      </c>
      <c r="I75" s="246" t="s">
        <v>77</v>
      </c>
      <c r="J75" s="247"/>
      <c r="K75" s="153"/>
      <c r="L75" s="154"/>
      <c r="M75" s="155"/>
      <c r="N75" s="38"/>
      <c r="Q75" s="27">
        <v>32</v>
      </c>
      <c r="R75" s="216">
        <v>0.995</v>
      </c>
      <c r="S75" s="27"/>
      <c r="T75" s="27"/>
      <c r="U75" s="217" t="e">
        <f>I63+0.03</f>
        <v>#VALUE!</v>
      </c>
      <c r="V75" s="217" t="e">
        <f>I63-0.03</f>
        <v>#VALUE!</v>
      </c>
      <c r="W75" s="27"/>
      <c r="X75" s="27"/>
      <c r="Y75" s="27"/>
      <c r="Z75" s="27"/>
      <c r="AA75" s="27"/>
      <c r="AB75" s="27"/>
      <c r="AC75" s="27"/>
      <c r="AD75" s="27"/>
      <c r="AE75" s="20"/>
      <c r="AF75" s="20"/>
      <c r="AG75" s="20"/>
    </row>
    <row r="76" spans="1:33" s="13" customFormat="1" ht="27.9" customHeight="1">
      <c r="A76" s="11"/>
      <c r="B76" s="244"/>
      <c r="C76" s="147" t="s">
        <v>105</v>
      </c>
      <c r="D76" s="192"/>
      <c r="E76" s="193">
        <v>3.45</v>
      </c>
      <c r="F76" s="194">
        <v>3</v>
      </c>
      <c r="G76" s="195">
        <v>3.05</v>
      </c>
      <c r="H76" s="196" t="s">
        <v>77</v>
      </c>
      <c r="I76" s="248" t="s">
        <v>77</v>
      </c>
      <c r="J76" s="249"/>
      <c r="K76" s="153"/>
      <c r="L76" s="154"/>
      <c r="M76" s="155"/>
      <c r="N76" s="38"/>
      <c r="Q76" s="27">
        <v>33</v>
      </c>
      <c r="R76" s="216">
        <v>0.99470000000000003</v>
      </c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0"/>
      <c r="AF76" s="20"/>
      <c r="AG76" s="20"/>
    </row>
    <row r="77" spans="1:33" s="13" customFormat="1" ht="27.9" customHeight="1">
      <c r="A77" s="11"/>
      <c r="B77" s="245"/>
      <c r="C77" s="197" t="s">
        <v>106</v>
      </c>
      <c r="D77" s="168"/>
      <c r="E77" s="198">
        <f>IF(E75="","",E76-E75)</f>
        <v>3.45</v>
      </c>
      <c r="F77" s="199">
        <f>IF(F75="","",F76-F75)</f>
        <v>3</v>
      </c>
      <c r="G77" s="200">
        <f>IF(G75="","",G76-G75)</f>
        <v>3.05</v>
      </c>
      <c r="H77" s="201">
        <f>IF(E75="","",AVERAGE(E77:G77))</f>
        <v>3.1666666666666665</v>
      </c>
      <c r="I77" s="187">
        <v>2</v>
      </c>
      <c r="J77" s="202">
        <v>4</v>
      </c>
      <c r="K77" s="153"/>
      <c r="L77" s="154"/>
      <c r="M77" s="155"/>
      <c r="N77" s="38"/>
      <c r="Q77" s="27">
        <v>34</v>
      </c>
      <c r="R77" s="216">
        <v>0.99439999999999995</v>
      </c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0"/>
      <c r="AF77" s="20"/>
      <c r="AG77" s="20"/>
    </row>
    <row r="78" spans="1:33" ht="37.5" customHeight="1">
      <c r="A78" s="5"/>
      <c r="B78" s="28"/>
      <c r="M78" s="29"/>
      <c r="N78" s="30"/>
      <c r="Q78" s="27">
        <v>35</v>
      </c>
      <c r="R78" s="216">
        <v>0.99409999999999998</v>
      </c>
    </row>
    <row r="79" spans="1:33" ht="37.5" customHeight="1">
      <c r="A79" s="5"/>
      <c r="B79" s="28"/>
      <c r="C79" s="250" t="str">
        <f>L11</f>
        <v>Felipe Coelho</v>
      </c>
      <c r="D79" s="250"/>
      <c r="E79" s="250"/>
      <c r="F79" s="250"/>
      <c r="I79" s="250" t="s">
        <v>107</v>
      </c>
      <c r="J79" s="250"/>
      <c r="K79" s="250"/>
      <c r="L79" s="250"/>
      <c r="M79" s="29"/>
      <c r="N79" s="30"/>
      <c r="AA79" s="9"/>
    </row>
    <row r="80" spans="1:33" ht="21.75" customHeight="1">
      <c r="A80" s="5"/>
      <c r="B80" s="41"/>
      <c r="C80" s="221" t="s">
        <v>108</v>
      </c>
      <c r="D80" s="221"/>
      <c r="E80" s="221"/>
      <c r="F80" s="221"/>
      <c r="G80" s="42"/>
      <c r="H80" s="42"/>
      <c r="I80" s="221" t="s">
        <v>109</v>
      </c>
      <c r="J80" s="221"/>
      <c r="K80" s="221"/>
      <c r="L80" s="221"/>
      <c r="M80" s="43"/>
      <c r="N80" s="30"/>
      <c r="AA80" s="9"/>
    </row>
    <row r="81" spans="1:27" ht="19.5" customHeight="1" thickBot="1">
      <c r="A81" s="44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6"/>
      <c r="AA81" s="215"/>
    </row>
    <row r="82" spans="1:27" ht="13.8">
      <c r="AA82" s="9"/>
    </row>
    <row r="83" spans="1:27" ht="13.8">
      <c r="AA83" s="9"/>
    </row>
    <row r="84" spans="1:27" ht="13.8">
      <c r="AA84" s="31"/>
    </row>
    <row r="85" spans="1:27" ht="13.8">
      <c r="AA85" s="9"/>
    </row>
    <row r="86" spans="1:27" ht="13.8">
      <c r="AA86" s="9"/>
    </row>
    <row r="87" spans="1:27" ht="13.8">
      <c r="AA87" s="9"/>
    </row>
    <row r="88" spans="1:27" ht="13.8">
      <c r="AA88" s="9"/>
    </row>
  </sheetData>
  <mergeCells count="83">
    <mergeCell ref="B7:C7"/>
    <mergeCell ref="L7:M7"/>
    <mergeCell ref="L2:M2"/>
    <mergeCell ref="L3:M3"/>
    <mergeCell ref="L4:M4"/>
    <mergeCell ref="L5:M5"/>
    <mergeCell ref="E2:J5"/>
    <mergeCell ref="B6:C6"/>
    <mergeCell ref="L6:M6"/>
    <mergeCell ref="H6:I6"/>
    <mergeCell ref="H7:I7"/>
    <mergeCell ref="D6:G6"/>
    <mergeCell ref="D7:G7"/>
    <mergeCell ref="B8:C8"/>
    <mergeCell ref="L8:M8"/>
    <mergeCell ref="J8:K8"/>
    <mergeCell ref="B9:C9"/>
    <mergeCell ref="L9:M9"/>
    <mergeCell ref="J9:K9"/>
    <mergeCell ref="D9:E9"/>
    <mergeCell ref="F8:G8"/>
    <mergeCell ref="F9:G9"/>
    <mergeCell ref="H8:I8"/>
    <mergeCell ref="H9:I9"/>
    <mergeCell ref="D8:E8"/>
    <mergeCell ref="B11:C11"/>
    <mergeCell ref="D11:F11"/>
    <mergeCell ref="G11:H11"/>
    <mergeCell ref="I11:K11"/>
    <mergeCell ref="L11:M11"/>
    <mergeCell ref="B10:C10"/>
    <mergeCell ref="D10:F10"/>
    <mergeCell ref="G10:H10"/>
    <mergeCell ref="I10:K10"/>
    <mergeCell ref="L10:M10"/>
    <mergeCell ref="K20:L20"/>
    <mergeCell ref="B12:C13"/>
    <mergeCell ref="D12:E12"/>
    <mergeCell ref="F12:F13"/>
    <mergeCell ref="G12:H13"/>
    <mergeCell ref="I12:J12"/>
    <mergeCell ref="K12:M14"/>
    <mergeCell ref="D13:E13"/>
    <mergeCell ref="I13:J13"/>
    <mergeCell ref="K15:L15"/>
    <mergeCell ref="K16:L16"/>
    <mergeCell ref="K17:L17"/>
    <mergeCell ref="K18:L18"/>
    <mergeCell ref="K19:L19"/>
    <mergeCell ref="K21:L21"/>
    <mergeCell ref="K22:L22"/>
    <mergeCell ref="K57:M58"/>
    <mergeCell ref="I59:J59"/>
    <mergeCell ref="I60:J60"/>
    <mergeCell ref="I61:J61"/>
    <mergeCell ref="B71:B72"/>
    <mergeCell ref="I71:J71"/>
    <mergeCell ref="I62:J62"/>
    <mergeCell ref="B57:B70"/>
    <mergeCell ref="C57:D58"/>
    <mergeCell ref="E57:E58"/>
    <mergeCell ref="F57:F58"/>
    <mergeCell ref="G57:G58"/>
    <mergeCell ref="H57:H58"/>
    <mergeCell ref="I57:J57"/>
    <mergeCell ref="B73:B77"/>
    <mergeCell ref="I73:J73"/>
    <mergeCell ref="I75:J75"/>
    <mergeCell ref="I76:J76"/>
    <mergeCell ref="C79:F79"/>
    <mergeCell ref="I79:L79"/>
    <mergeCell ref="C80:F80"/>
    <mergeCell ref="I80:L80"/>
    <mergeCell ref="C63:D63"/>
    <mergeCell ref="I69:J69"/>
    <mergeCell ref="E70:G70"/>
    <mergeCell ref="I70:J70"/>
    <mergeCell ref="I63:J63"/>
    <mergeCell ref="E64:G64"/>
    <mergeCell ref="K64:M64"/>
    <mergeCell ref="I66:J66"/>
    <mergeCell ref="I67:J67"/>
    <mergeCell ref="K68:L68"/>
  </mergeCells>
  <conditionalFormatting sqref="C37:D56">
    <cfRule type="containsErrors" dxfId="17" priority="22">
      <formula>ISERROR(C37)</formula>
    </cfRule>
  </conditionalFormatting>
  <conditionalFormatting sqref="F15">
    <cfRule type="cellIs" dxfId="16" priority="13" operator="notEqual">
      <formula>$G$15</formula>
    </cfRule>
  </conditionalFormatting>
  <conditionalFormatting sqref="F16">
    <cfRule type="cellIs" dxfId="15" priority="21" operator="notBetween">
      <formula>$G$16</formula>
      <formula>$H$16</formula>
    </cfRule>
  </conditionalFormatting>
  <conditionalFormatting sqref="F17">
    <cfRule type="cellIs" dxfId="14" priority="20" operator="notBetween">
      <formula>$G$17</formula>
      <formula>$H$17</formula>
    </cfRule>
  </conditionalFormatting>
  <conditionalFormatting sqref="F18">
    <cfRule type="cellIs" dxfId="13" priority="19" operator="notBetween">
      <formula>$G$18</formula>
      <formula>$H$18</formula>
    </cfRule>
  </conditionalFormatting>
  <conditionalFormatting sqref="F19">
    <cfRule type="cellIs" dxfId="12" priority="18" operator="notBetween">
      <formula>$G$19</formula>
      <formula>$H$19</formula>
    </cfRule>
  </conditionalFormatting>
  <conditionalFormatting sqref="F20 F22 F24 F26 F28 F30 F32 F34">
    <cfRule type="cellIs" dxfId="11" priority="17" operator="notBetween">
      <formula>$G$20</formula>
      <formula>$H$20</formula>
    </cfRule>
  </conditionalFormatting>
  <conditionalFormatting sqref="F21 F23 F25 F27 F29 F31 F33">
    <cfRule type="cellIs" dxfId="10" priority="16" operator="notBetween">
      <formula>$G$21</formula>
      <formula>$H$21</formula>
    </cfRule>
  </conditionalFormatting>
  <conditionalFormatting sqref="H65">
    <cfRule type="cellIs" dxfId="9" priority="9" operator="notBetween">
      <formula>$I$65</formula>
      <formula>$J$65</formula>
    </cfRule>
  </conditionalFormatting>
  <conditionalFormatting sqref="H68">
    <cfRule type="cellIs" dxfId="8" priority="8" operator="notBetween">
      <formula>$I$68</formula>
      <formula>$J$68</formula>
    </cfRule>
  </conditionalFormatting>
  <conditionalFormatting sqref="H72 H74 H76:H77">
    <cfRule type="cellIs" dxfId="7" priority="7" operator="lessThan">
      <formula>$I$72</formula>
    </cfRule>
  </conditionalFormatting>
  <conditionalFormatting sqref="H74">
    <cfRule type="cellIs" dxfId="6" priority="5" operator="lessThan">
      <formula>$I$74</formula>
    </cfRule>
  </conditionalFormatting>
  <conditionalFormatting sqref="M22">
    <cfRule type="cellIs" dxfId="5" priority="4" operator="notBetween">
      <formula>0.79</formula>
      <formula>1.61</formula>
    </cfRule>
  </conditionalFormatting>
  <conditionalFormatting sqref="M70:N71">
    <cfRule type="cellIs" dxfId="4" priority="10" operator="notBetween">
      <formula>#REF!</formula>
      <formula>#REF!</formula>
    </cfRule>
  </conditionalFormatting>
  <conditionalFormatting sqref="N20">
    <cfRule type="cellIs" dxfId="3" priority="11" operator="notBetween">
      <formula>0.79</formula>
      <formula>1.61</formula>
    </cfRule>
  </conditionalFormatting>
  <conditionalFormatting sqref="N68">
    <cfRule type="cellIs" dxfId="2" priority="6" operator="notBetween">
      <formula>#REF!</formula>
      <formula>#REF!</formula>
    </cfRule>
  </conditionalFormatting>
  <conditionalFormatting sqref="M21:M22 M68">
    <cfRule type="cellIs" dxfId="1" priority="28" operator="notBetween">
      <formula>$V$63</formula>
      <formula>$W$63</formula>
    </cfRule>
  </conditionalFormatting>
  <conditionalFormatting sqref="H63">
    <cfRule type="cellIs" dxfId="0" priority="30" operator="notBetween">
      <formula>$U$75</formula>
      <formula>$V$75</formula>
    </cfRule>
  </conditionalFormatting>
  <dataValidations disablePrompts="1" count="1">
    <dataValidation type="list" allowBlank="1" showInputMessage="1" showErrorMessage="1" sqref="K12:N14" xr:uid="{08B8C864-565D-404A-9237-F3E218D9C876}">
      <formula1>$W$58:$W$59</formula1>
    </dataValidation>
  </dataValidations>
  <printOptions horizontalCentered="1" verticalCentered="1"/>
  <pageMargins left="0.23622047244094491" right="3.937007874015748E-2" top="0.34" bottom="0.3" header="0.31496062992125984" footer="0.31496062992125984"/>
  <pageSetup paperSize="9" scale="25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8E648-C9C7-40BF-A184-F07FC7E414E2}">
  <sheetPr codeName="Planilha4"/>
  <dimension ref="A1"/>
  <sheetViews>
    <sheetView showRowColHeaders="0" workbookViewId="0">
      <selection activeCell="P10" sqref="P10"/>
    </sheetView>
  </sheetViews>
  <sheetFormatPr defaultColWidth="9.09765625" defaultRowHeight="13.8"/>
  <cols>
    <col min="1" max="16384" width="9.09765625" style="220"/>
  </cols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Proc_Asfalto</vt:lpstr>
      <vt:lpstr>Projeto_Asfalto</vt:lpstr>
      <vt:lpstr>Form_001</vt:lpstr>
      <vt:lpstr>Tela</vt:lpstr>
      <vt:lpstr>Form_001!Print_Area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Felipe de Freitas Coelho | Via Araucária</dc:creator>
  <cp:keywords/>
  <dc:description/>
  <cp:lastModifiedBy>Desktop_Casa</cp:lastModifiedBy>
  <cp:revision/>
  <dcterms:created xsi:type="dcterms:W3CDTF">2025-06-26T12:27:40Z</dcterms:created>
  <dcterms:modified xsi:type="dcterms:W3CDTF">2026-06-21T16:51:39Z</dcterms:modified>
  <cp:category/>
  <cp:contentStatus/>
</cp:coreProperties>
</file>